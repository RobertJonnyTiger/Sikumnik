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or\Desktop\אקדמית תא -יפו\תואר ראשון\ניהול וכלכלה - חשבונאות א\מבחנים\2016\"/>
    </mc:Choice>
  </mc:AlternateContent>
  <bookViews>
    <workbookView xWindow="480" yWindow="30" windowWidth="18240" windowHeight="8510" firstSheet="2" activeTab="5"/>
  </bookViews>
  <sheets>
    <sheet name="שם הבחינה" sheetId="7" r:id="rId1"/>
    <sheet name="שאלה 1א" sheetId="4" r:id="rId2"/>
    <sheet name="שאלה 1ב" sheetId="5" r:id="rId3"/>
    <sheet name="מלאי - שאלה 2" sheetId="2" r:id="rId4"/>
    <sheet name="רכוש קבוע - שאלה 3" sheetId="1" r:id="rId5"/>
    <sheet name="שאלה 4 - לקוחות " sheetId="6" r:id="rId6"/>
    <sheet name="שאלה 5- תיאוריה" sheetId="3" r:id="rId7"/>
  </sheets>
  <calcPr calcId="152511"/>
</workbook>
</file>

<file path=xl/calcChain.xml><?xml version="1.0" encoding="utf-8"?>
<calcChain xmlns="http://schemas.openxmlformats.org/spreadsheetml/2006/main">
  <c r="E26" i="5" l="1"/>
  <c r="E100" i="4"/>
  <c r="K31" i="6"/>
  <c r="B22" i="6"/>
  <c r="B23" i="6" s="1"/>
  <c r="F17" i="6"/>
  <c r="F19" i="6" s="1"/>
  <c r="E9" i="6"/>
  <c r="F7" i="6"/>
  <c r="F10" i="6" s="1"/>
  <c r="B10" i="6" s="1"/>
  <c r="B22" i="5"/>
  <c r="B18" i="5"/>
  <c r="B11" i="5"/>
  <c r="B4" i="5" s="1"/>
  <c r="B5" i="5"/>
  <c r="C158" i="4"/>
  <c r="B158" i="4"/>
  <c r="B92" i="4"/>
  <c r="B87" i="4"/>
  <c r="B69" i="4" s="1"/>
  <c r="B77" i="4"/>
  <c r="B79" i="4" s="1"/>
  <c r="B71" i="4"/>
  <c r="B46" i="4"/>
  <c r="B39" i="4" s="1"/>
  <c r="B40" i="4"/>
  <c r="B36" i="4"/>
  <c r="C23" i="4" s="1"/>
  <c r="B13" i="4"/>
  <c r="B12" i="4"/>
  <c r="B9" i="4"/>
  <c r="B10" i="4" s="1"/>
  <c r="B7" i="4"/>
  <c r="B49" i="4" s="1"/>
  <c r="B52" i="4" s="1"/>
  <c r="C26" i="4" s="1"/>
  <c r="B6" i="4"/>
  <c r="D49" i="4" s="1"/>
  <c r="I12" i="3"/>
  <c r="H59" i="1"/>
  <c r="G44" i="2"/>
  <c r="F44" i="2" s="1"/>
  <c r="E44" i="2" s="1"/>
  <c r="E48" i="2" s="1"/>
  <c r="J63" i="2"/>
  <c r="G45" i="2"/>
  <c r="E37" i="2"/>
  <c r="E36" i="2"/>
  <c r="D10" i="2"/>
  <c r="D11" i="2"/>
  <c r="B12" i="2"/>
  <c r="D9" i="2"/>
  <c r="G4" i="2"/>
  <c r="D23" i="2"/>
  <c r="D22" i="2"/>
  <c r="D21" i="2"/>
  <c r="C54" i="1"/>
  <c r="C53" i="1"/>
  <c r="C50" i="1"/>
  <c r="C49" i="1"/>
  <c r="E39" i="1"/>
  <c r="D39" i="1"/>
  <c r="C45" i="1"/>
  <c r="C30" i="1"/>
  <c r="E40" i="1" s="1"/>
  <c r="E41" i="1" s="1"/>
  <c r="C29" i="1"/>
  <c r="C28" i="1"/>
  <c r="D40" i="1" s="1"/>
  <c r="C26" i="1"/>
  <c r="C17" i="1"/>
  <c r="C15" i="1"/>
  <c r="C11" i="1"/>
  <c r="C12" i="1" s="1"/>
  <c r="C7" i="1" s="1"/>
  <c r="C8" i="1" s="1"/>
  <c r="C41" i="1"/>
  <c r="C31" i="1" l="1"/>
  <c r="B14" i="4"/>
  <c r="D68" i="4" s="1"/>
  <c r="D70" i="4" s="1"/>
  <c r="B41" i="4"/>
  <c r="C24" i="4" s="1"/>
  <c r="C25" i="4" s="1"/>
  <c r="B6" i="5"/>
  <c r="B23" i="5" s="1"/>
  <c r="I16" i="3"/>
  <c r="B19" i="6"/>
  <c r="B27" i="6"/>
  <c r="B24" i="5"/>
  <c r="B70" i="4"/>
  <c r="D54" i="4"/>
  <c r="D57" i="4" s="1"/>
  <c r="C27" i="4" s="1"/>
  <c r="B72" i="4"/>
  <c r="B81" i="4" s="1"/>
  <c r="D41" i="1"/>
  <c r="D24" i="2"/>
  <c r="D30" i="2" s="1"/>
  <c r="D29" i="2" s="1"/>
  <c r="E39" i="2" s="1"/>
  <c r="E38" i="2" s="1"/>
  <c r="D38" i="2" s="1"/>
  <c r="D12" i="2"/>
  <c r="G41" i="1"/>
  <c r="G40" i="1"/>
  <c r="G39" i="1"/>
  <c r="D31" i="2" l="1"/>
  <c r="E31" i="2" s="1"/>
  <c r="C29" i="4"/>
  <c r="C31" i="4" s="1"/>
  <c r="B96" i="4" s="1"/>
  <c r="B97" i="4" s="1"/>
  <c r="D78" i="4" s="1"/>
  <c r="D79" i="4" s="1"/>
  <c r="D81" i="4" s="1"/>
  <c r="B26" i="6"/>
  <c r="B28" i="6" s="1"/>
  <c r="B16" i="6"/>
</calcChain>
</file>

<file path=xl/sharedStrings.xml><?xml version="1.0" encoding="utf-8"?>
<sst xmlns="http://schemas.openxmlformats.org/spreadsheetml/2006/main" count="286" uniqueCount="218">
  <si>
    <t>ניקוד</t>
  </si>
  <si>
    <t>עלות מופחתת</t>
  </si>
  <si>
    <t>רווח הון</t>
  </si>
  <si>
    <t>עלות</t>
  </si>
  <si>
    <t>פחת שנצבר</t>
  </si>
  <si>
    <t>ח. עו"ש</t>
  </si>
  <si>
    <t>ח. פחת שנצבר ציוד</t>
  </si>
  <si>
    <t>ז. רווח הון</t>
  </si>
  <si>
    <t>מכונות</t>
  </si>
  <si>
    <t>סה"כ</t>
  </si>
  <si>
    <t xml:space="preserve">עלות </t>
  </si>
  <si>
    <t>מחשבים</t>
  </si>
  <si>
    <t>רווח ההון ממכירת הרכב</t>
  </si>
  <si>
    <t xml:space="preserve">תמורה </t>
  </si>
  <si>
    <t>מלוא העלות - נתון</t>
  </si>
  <si>
    <t>חייב להיות שווה לעלות בניכוי הגרט מאחר והרכב סיים הפחתתו ב-1.7.16</t>
  </si>
  <si>
    <t>ז עלות רכב</t>
  </si>
  <si>
    <t>אורך החיים השימושי של מכונה א</t>
  </si>
  <si>
    <t>100,000/X*4.5 = 75,000</t>
  </si>
  <si>
    <t>X= 6</t>
  </si>
  <si>
    <t>הוצאות פחת לשנת 2016</t>
  </si>
  <si>
    <t>רכב</t>
  </si>
  <si>
    <t>(200000-10000)*1/15*6/12=</t>
  </si>
  <si>
    <t>סיימו הפחתה בשנת 2015</t>
  </si>
  <si>
    <t>מכונה א</t>
  </si>
  <si>
    <t>100000/6=</t>
  </si>
  <si>
    <t>מכונה ב שנרכשה</t>
  </si>
  <si>
    <t>(65000-5000)/6*6/12=</t>
  </si>
  <si>
    <t>מבנה</t>
  </si>
  <si>
    <t>(4000000+200000+40000)*75%*4%*5/12=</t>
  </si>
  <si>
    <t>הנהל"כ</t>
  </si>
  <si>
    <t>הוצאות מכירה ושווק</t>
  </si>
  <si>
    <t>יתרת רכוש קבוע, נטו ליום 31.12.2016</t>
  </si>
  <si>
    <t>העלות + ערך הגרט</t>
  </si>
  <si>
    <t>המחשבים סיימו הפחתתם ב-2015 ולכן יוצגו גם בסוף 2016 בסכום פ"נ זהה</t>
  </si>
  <si>
    <t>100000+65000=</t>
  </si>
  <si>
    <t>75000+16667+5000=</t>
  </si>
  <si>
    <t>4000000+200000+40000=</t>
  </si>
  <si>
    <t>חלק א'</t>
  </si>
  <si>
    <t xml:space="preserve">נתון כי שווי מימוש, נטו מלאי הסגירה- </t>
  </si>
  <si>
    <t>מכאן שמלאי הסגירה-</t>
  </si>
  <si>
    <t>חישוב עלות המכר</t>
  </si>
  <si>
    <t>מלאי פתיחה-</t>
  </si>
  <si>
    <t>קניות-</t>
  </si>
  <si>
    <t>20*80+50*5 =</t>
  </si>
  <si>
    <t>מלאי סגירה-</t>
  </si>
  <si>
    <t>מכירות-</t>
  </si>
  <si>
    <t>עלות המכר-</t>
  </si>
  <si>
    <t>חלק ב'</t>
  </si>
  <si>
    <t>כמות המלאי שנותרה במחסני החברה ליום 31.12.2015:</t>
  </si>
  <si>
    <t>כמות</t>
  </si>
  <si>
    <t>חישוב עלות מלאי סגירה בשיטת פיפו:</t>
  </si>
  <si>
    <t>עלות או שווי מימוש נטו, כנמוך</t>
  </si>
  <si>
    <t>רווח גולמי-</t>
  </si>
  <si>
    <t>מהווה 80% מהמכירות</t>
  </si>
  <si>
    <t>מכאן - חישוב המכירות חייב להביא לסה"כ של 2,688 ₪</t>
  </si>
  <si>
    <t>תאריך</t>
  </si>
  <si>
    <t>מחיר מכירה</t>
  </si>
  <si>
    <t>20.8.15</t>
  </si>
  <si>
    <t>17.10.15</t>
  </si>
  <si>
    <t>P.N</t>
  </si>
  <si>
    <t xml:space="preserve">עלות מלאי הסגירה לפי ממוצע משוקלל  </t>
  </si>
  <si>
    <t>החשב טועה</t>
  </si>
  <si>
    <t>רווח גבוה יותר יושג בניהול בשיטת פיפו רק במקרה של עליית מחירים במשק.</t>
  </si>
  <si>
    <t>החשב טועה בטענותיו</t>
  </si>
  <si>
    <t xml:space="preserve">יינתן ביטוי להפסד עוד בשנת 2015 , עקב ירידת ערך מלאי הסגירה נדרשת הצגה בהתאם לשווי המימוש נטו </t>
  </si>
  <si>
    <t>במלאי הסגירה לסוף שנה זו.</t>
  </si>
  <si>
    <t>ספקים</t>
  </si>
  <si>
    <t>מלאי פתיחה</t>
  </si>
  <si>
    <t>פיפו תמידי זהה לתקופתי ולכן נחשב את העלות בשיטת פיפו תקופתי</t>
  </si>
  <si>
    <t>60*50=</t>
  </si>
  <si>
    <t>2150/80%=</t>
  </si>
  <si>
    <t>20.7.15</t>
  </si>
  <si>
    <t>1128/15=</t>
  </si>
  <si>
    <t>60*50+20*80+5*50=</t>
  </si>
  <si>
    <t>60+20+5=</t>
  </si>
  <si>
    <t>57.06*45=</t>
  </si>
  <si>
    <t>לקיחת הלוואה לא תשפר את רווחיות החברה , להיפך - ייתכן כי הוצאות הריבית נוספות יקטינו את הרווח לשנת 2015.</t>
  </si>
  <si>
    <t>ביום 31.8.16</t>
  </si>
  <si>
    <t>יוצג בדוח רווח הפסד במסגרת :</t>
  </si>
  <si>
    <t>-</t>
  </si>
  <si>
    <t>בשנה זו מאחר והמכונות יכללו במלאי הסגירה לתום השנה</t>
  </si>
  <si>
    <t>רק אם תירשם ירידת ערך למלאי המכונות תהיה לכך השפעה על הרווחיות ב-2016.</t>
  </si>
  <si>
    <t>יש לבחון מהי תקופת ההשכרה בגינה שולם הסך 100 אלפי ₪.</t>
  </si>
  <si>
    <t>רק אם מלוא תקופת ההשכרה חלה בשנת 2016 ניתן להכיר במלוא ההכנסה בשנה זו.</t>
  </si>
  <si>
    <t xml:space="preserve">גם אם הרכישה תתבצע בשנת 2016 לא תהיה לכך השפעה מהותית על רווחיות החברה </t>
  </si>
  <si>
    <t>אך זאת אינו צפוי לאור העובדה שהמכונות צפויות להמכר ברווח גדול.</t>
  </si>
  <si>
    <t>המכונות מהוות מלאי אצל חברת אורן.</t>
  </si>
  <si>
    <t xml:space="preserve">ניתן ללמוד מהביאור מהו גיל הנכסים הקבועים של החברה. לדוגמא - מחשבי החברה הגיעו לתום תקופת הפחתתם וייתכן שיש </t>
  </si>
  <si>
    <t>לשקול השקעה במחשבים חדשים שלא ודאי שלחברה אפשרות לממנה.</t>
  </si>
  <si>
    <t>שאלה 1 - חלק א'</t>
  </si>
  <si>
    <t>פקודות יומן לעדכון נתונים נוספים :</t>
  </si>
  <si>
    <t>פחת כלי רכב- הנהל"כ</t>
  </si>
  <si>
    <t>16,000 * 70% =</t>
  </si>
  <si>
    <t>פחת כלי רכב - מכירה ושיווק</t>
  </si>
  <si>
    <t>16,000 * 30% =</t>
  </si>
  <si>
    <t>ח. הוצאות שכ"ד - הנהלה</t>
  </si>
  <si>
    <t>360,000/18*7=</t>
  </si>
  <si>
    <t>ז. הוצאות שכ"ד מראש</t>
  </si>
  <si>
    <t>ח. הוצאות חשמל</t>
  </si>
  <si>
    <t>70,000/10*2=</t>
  </si>
  <si>
    <t>ח. הוצאות ארנונה</t>
  </si>
  <si>
    <t>40,000/10*2=</t>
  </si>
  <si>
    <t>ז. הוצאות לשלם</t>
  </si>
  <si>
    <t>לא נדרש פקודות יומן!!</t>
  </si>
  <si>
    <t>מלאי סגירה- מאזן</t>
  </si>
  <si>
    <t>מלאי סגירה- רווח והפסד</t>
  </si>
  <si>
    <t>דו"ח רווח והפסד לשנה שנסתיימה ב- 31.12.15 - חברת "הצהובים" בע"מ</t>
  </si>
  <si>
    <t>מכירות,נטו (1)</t>
  </si>
  <si>
    <t>עלות מכירות (2)</t>
  </si>
  <si>
    <t>רווח גולמי</t>
  </si>
  <si>
    <t>הוצאות מכירה ושיווק (4)</t>
  </si>
  <si>
    <t>הוצאות הנהל"כ (4)</t>
  </si>
  <si>
    <t>הכנסות אחרות</t>
  </si>
  <si>
    <t>הוצאות מימון</t>
  </si>
  <si>
    <t>הפסד נקי</t>
  </si>
  <si>
    <t>מכירות, נטו (1)</t>
  </si>
  <si>
    <t>מכירות</t>
  </si>
  <si>
    <t>החזרות מלקוחות</t>
  </si>
  <si>
    <t>עלות המכירות (3)</t>
  </si>
  <si>
    <t>קניות, נטו (2)</t>
  </si>
  <si>
    <t>מלאי סגירה</t>
  </si>
  <si>
    <t>החזרות לספקים</t>
  </si>
  <si>
    <t>הוצאות מכירה ושיווק (3)</t>
  </si>
  <si>
    <t>פחת כלי רכב</t>
  </si>
  <si>
    <t>שיווק</t>
  </si>
  <si>
    <t>ארנונה</t>
  </si>
  <si>
    <t>עמלות לסוכני מכירות</t>
  </si>
  <si>
    <t>תקשורת</t>
  </si>
  <si>
    <t>חומ"ס</t>
  </si>
  <si>
    <t>חשמל</t>
  </si>
  <si>
    <t>שכ"ד</t>
  </si>
  <si>
    <t>שכר</t>
  </si>
  <si>
    <t>כיבודים</t>
  </si>
  <si>
    <t>מאזן ליום ה- 31.12.15 - חברת "הצהובים" בע"מ</t>
  </si>
  <si>
    <t>נכסים שוטפים</t>
  </si>
  <si>
    <t>התחייבויות שוטפות</t>
  </si>
  <si>
    <t xml:space="preserve">עו"ש </t>
  </si>
  <si>
    <t>הכנסות לקבל</t>
  </si>
  <si>
    <t>הוצאות לשלם</t>
  </si>
  <si>
    <t>לקוחות, נטו (1)</t>
  </si>
  <si>
    <t>הלוואות לזמן קצר</t>
  </si>
  <si>
    <t>הוצאות מראש</t>
  </si>
  <si>
    <t>התחייבויות לא שוטפות</t>
  </si>
  <si>
    <t>הלוואות לז"א</t>
  </si>
  <si>
    <t>נכסים לא שוטפים</t>
  </si>
  <si>
    <t>הון עצמי</t>
  </si>
  <si>
    <t>רכוש קבוע, נטו (2)</t>
  </si>
  <si>
    <t>הון מניות</t>
  </si>
  <si>
    <t>רכוש אחר - פטנט</t>
  </si>
  <si>
    <t>יתרת רווח/ עודפים (3)</t>
  </si>
  <si>
    <t>לקוחות</t>
  </si>
  <si>
    <t>הפרשה לחומ"ס</t>
  </si>
  <si>
    <t>כלי רכב</t>
  </si>
  <si>
    <t>פחת שנצבר כלי רכב</t>
  </si>
  <si>
    <t>י.פ עודפים</t>
  </si>
  <si>
    <t>רווח נקי</t>
  </si>
  <si>
    <t>כרטיס</t>
  </si>
  <si>
    <t>חובה</t>
  </si>
  <si>
    <t>עו"ש בנק</t>
  </si>
  <si>
    <t>הלוואה לזמן ארוך</t>
  </si>
  <si>
    <t>מלאי פתיחה ליום 1.1.2015</t>
  </si>
  <si>
    <t>הוצאות ארנונה - הנהלה</t>
  </si>
  <si>
    <t>הוצאות כיבודים</t>
  </si>
  <si>
    <t>הוצאות פחת כלי רכב</t>
  </si>
  <si>
    <t>יתרת עודפים ל- 1.1.2015</t>
  </si>
  <si>
    <t>הוצאות שכר - הנהלה</t>
  </si>
  <si>
    <t xml:space="preserve">פחת שנצבר כלי רכב </t>
  </si>
  <si>
    <t xml:space="preserve">הוצאות תקשורת - הנהלה </t>
  </si>
  <si>
    <t>הוצאות ריבית</t>
  </si>
  <si>
    <t>הוצאות שכ"ד מראש</t>
  </si>
  <si>
    <t xml:space="preserve">מכירות ברוטו </t>
  </si>
  <si>
    <t>קניות ברוטו</t>
  </si>
  <si>
    <t>הכנסות מייעוץ</t>
  </si>
  <si>
    <t>הוצאות חומ"ס</t>
  </si>
  <si>
    <t>הוצאות שיווק</t>
  </si>
  <si>
    <t>פטנט</t>
  </si>
  <si>
    <t>הוצאות חשמל - הנהלה</t>
  </si>
  <si>
    <t>שאלה 1 - חלק ב'</t>
  </si>
  <si>
    <t>חישוב רווח גולמי לשנת 2015</t>
  </si>
  <si>
    <t>מכירות, נטו</t>
  </si>
  <si>
    <t>עלות המכירות</t>
  </si>
  <si>
    <t>מכירות ברוטו</t>
  </si>
  <si>
    <t xml:space="preserve">יתרת הוצאות שיווק מעודכנת לשנת 2015 </t>
  </si>
  <si>
    <t>ינואר - דצמבר 2015</t>
  </si>
  <si>
    <t>220,000/10*12 =</t>
  </si>
  <si>
    <t>בונוס לחברת הפרסום</t>
  </si>
  <si>
    <t>359,500*3% =</t>
  </si>
  <si>
    <t>31.12.15</t>
  </si>
  <si>
    <t xml:space="preserve">לקוחות </t>
  </si>
  <si>
    <t xml:space="preserve">הוצאות חומ"ס </t>
  </si>
  <si>
    <t>י.פ. 1.1.15</t>
  </si>
  <si>
    <t>מכירות באשראי</t>
  </si>
  <si>
    <t>גביה במזומן (P.N)</t>
  </si>
  <si>
    <t>נדרש 2</t>
  </si>
  <si>
    <t>חוב אבוד</t>
  </si>
  <si>
    <t>י.ס. 31.12.15</t>
  </si>
  <si>
    <t>י.ס  31.12.15</t>
  </si>
  <si>
    <t>31.12.16</t>
  </si>
  <si>
    <t>י.פ. 1.1.16</t>
  </si>
  <si>
    <t>מכירות באשראי (P.N)</t>
  </si>
  <si>
    <t xml:space="preserve">נדרש 3 </t>
  </si>
  <si>
    <t xml:space="preserve">גביה במזומן </t>
  </si>
  <si>
    <t>י.ס. 31.12.16</t>
  </si>
  <si>
    <t>י.ס  31.12.16</t>
  </si>
  <si>
    <t>נדרש 4</t>
  </si>
  <si>
    <t>ח. הוצאות חומ"ס</t>
  </si>
  <si>
    <t>ז. הפרשה לחומ"ס</t>
  </si>
  <si>
    <t xml:space="preserve">  31.12.2016  </t>
  </si>
  <si>
    <t>לקוחות, נטו</t>
  </si>
  <si>
    <t>סה"כ :</t>
  </si>
  <si>
    <t>פתרון חשבונאות א</t>
  </si>
  <si>
    <t>סמסטר א תשעו</t>
  </si>
  <si>
    <t>מועד א 11.2.2016</t>
  </si>
  <si>
    <t>סה"כ ניקוד בכל הבחינה</t>
  </si>
  <si>
    <t>סה"כ ניקוד</t>
  </si>
  <si>
    <r>
      <rPr>
        <sz val="12"/>
        <color rgb="FFFF0000"/>
        <rFont val="David"/>
        <family val="2"/>
        <charset val="177"/>
      </rPr>
      <t>הפסד</t>
    </r>
    <r>
      <rPr>
        <sz val="12"/>
        <color theme="1"/>
        <rFont val="David"/>
        <family val="2"/>
        <charset val="177"/>
      </rPr>
      <t xml:space="preserve"> תפעולי</t>
    </r>
  </si>
  <si>
    <r>
      <t xml:space="preserve">קניות, </t>
    </r>
    <r>
      <rPr>
        <sz val="12"/>
        <color rgb="FFFF0000"/>
        <rFont val="David"/>
        <family val="2"/>
        <charset val="177"/>
      </rPr>
      <t>ברוטו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</si>
</sst>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 * #,##0.00_ ;_ * \-#,##0.00_ ;_ * &quot;-&quot;??_ ;_ @_ "/>
    <numFmt numFmtId="164" formatCode="_ * #,##0_ ;_ * \-#,##0_ ;_ * &quot;-&quot;??_ ;_ @_ "/>
    <numFmt numFmtId="165" formatCode="#,##0.0"/>
    <numFmt numFmtId="166" formatCode="0.0"/>
  </numFmts>
  <fonts count="2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2"/>
      <color theme="1"/>
      <name val="David"/>
      <family val="2"/>
      <charset val="177"/>
    </font>
    <font>
      <b/>
      <sz val="12"/>
      <color theme="1"/>
      <name val="David"/>
      <family val="2"/>
      <charset val="177"/>
    </font>
    <font>
      <b/>
      <u val="singleAccounting"/>
      <sz val="12"/>
      <color theme="1"/>
      <name val="David"/>
      <family val="2"/>
      <charset val="177"/>
    </font>
    <font>
      <u val="singleAccounting"/>
      <sz val="12"/>
      <color theme="1"/>
      <name val="David"/>
      <family val="2"/>
      <charset val="177"/>
    </font>
    <font>
      <b/>
      <u/>
      <sz val="12"/>
      <name val="David"/>
      <family val="2"/>
      <charset val="177"/>
    </font>
    <font>
      <b/>
      <u/>
      <sz val="12"/>
      <color theme="1"/>
      <name val="David"/>
      <family val="2"/>
      <charset val="177"/>
    </font>
    <font>
      <b/>
      <sz val="12"/>
      <name val="David"/>
      <family val="2"/>
      <charset val="177"/>
    </font>
    <font>
      <u/>
      <sz val="12"/>
      <color theme="1"/>
      <name val="David"/>
      <family val="2"/>
      <charset val="177"/>
    </font>
    <font>
      <b/>
      <sz val="11"/>
      <color theme="1"/>
      <name val="Arial"/>
      <family val="2"/>
      <scheme val="minor"/>
    </font>
    <font>
      <b/>
      <u/>
      <sz val="12"/>
      <color theme="1"/>
      <name val="David"/>
      <family val="2"/>
    </font>
    <font>
      <sz val="12"/>
      <name val="David"/>
      <family val="2"/>
      <charset val="177"/>
    </font>
    <font>
      <sz val="11"/>
      <color theme="1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2"/>
      <name val="David"/>
      <family val="2"/>
    </font>
    <font>
      <sz val="12"/>
      <color theme="1"/>
      <name val="David"/>
      <family val="2"/>
    </font>
    <font>
      <u/>
      <sz val="12"/>
      <name val="David"/>
      <family val="2"/>
      <charset val="177"/>
    </font>
    <font>
      <b/>
      <sz val="12"/>
      <color theme="1"/>
      <name val="David"/>
      <family val="2"/>
    </font>
    <font>
      <sz val="12"/>
      <color rgb="FFFF0000"/>
      <name val="David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0">
    <xf numFmtId="0" fontId="0" fillId="0" borderId="0" xfId="0"/>
    <xf numFmtId="164" fontId="2" fillId="0" borderId="0" xfId="1" applyNumberFormat="1" applyFont="1"/>
    <xf numFmtId="164" fontId="3" fillId="2" borderId="0" xfId="1" applyNumberFormat="1" applyFont="1" applyFill="1" applyAlignment="1">
      <alignment horizontal="center"/>
    </xf>
    <xf numFmtId="164" fontId="4" fillId="0" borderId="0" xfId="1" applyNumberFormat="1" applyFont="1"/>
    <xf numFmtId="164" fontId="3" fillId="0" borderId="0" xfId="1" applyNumberFormat="1" applyFont="1"/>
    <xf numFmtId="164" fontId="5" fillId="0" borderId="0" xfId="1" applyNumberFormat="1" applyFont="1"/>
    <xf numFmtId="164" fontId="3" fillId="0" borderId="1" xfId="1" applyNumberFormat="1" applyFont="1" applyBorder="1"/>
    <xf numFmtId="164" fontId="2" fillId="0" borderId="1" xfId="1" applyNumberFormat="1" applyFont="1" applyBorder="1"/>
    <xf numFmtId="164" fontId="5" fillId="0" borderId="1" xfId="1" applyNumberFormat="1" applyFont="1" applyBorder="1"/>
    <xf numFmtId="164" fontId="2" fillId="0" borderId="0" xfId="1" applyNumberFormat="1" applyFont="1" applyBorder="1"/>
    <xf numFmtId="0" fontId="2" fillId="0" borderId="0" xfId="0" applyFont="1"/>
    <xf numFmtId="0" fontId="6" fillId="3" borderId="0" xfId="0" applyFont="1" applyFill="1" applyAlignment="1">
      <alignment horizontal="center"/>
    </xf>
    <xf numFmtId="0" fontId="7" fillId="0" borderId="0" xfId="0" applyFont="1"/>
    <xf numFmtId="165" fontId="2" fillId="0" borderId="0" xfId="0" applyNumberFormat="1" applyFont="1"/>
    <xf numFmtId="0" fontId="8" fillId="3" borderId="0" xfId="0" applyFont="1" applyFill="1" applyAlignment="1">
      <alignment horizontal="center"/>
    </xf>
    <xf numFmtId="3" fontId="2" fillId="0" borderId="0" xfId="0" applyNumberFormat="1" applyFont="1"/>
    <xf numFmtId="2" fontId="2" fillId="0" borderId="0" xfId="0" applyNumberFormat="1" applyFont="1"/>
    <xf numFmtId="3" fontId="9" fillId="0" borderId="0" xfId="0" applyNumberFormat="1" applyFont="1"/>
    <xf numFmtId="3" fontId="2" fillId="0" borderId="2" xfId="0" applyNumberFormat="1" applyFont="1" applyBorder="1"/>
    <xf numFmtId="0" fontId="9" fillId="0" borderId="2" xfId="0" applyFont="1" applyBorder="1"/>
    <xf numFmtId="0" fontId="2" fillId="0" borderId="2" xfId="0" applyFont="1" applyBorder="1"/>
    <xf numFmtId="3" fontId="3" fillId="0" borderId="0" xfId="0" applyNumberFormat="1" applyFont="1"/>
    <xf numFmtId="0" fontId="2" fillId="2" borderId="0" xfId="0" applyFont="1" applyFill="1"/>
    <xf numFmtId="0" fontId="3" fillId="2" borderId="0" xfId="0" applyFont="1" applyFill="1" applyAlignment="1">
      <alignment horizontal="center"/>
    </xf>
    <xf numFmtId="0" fontId="9" fillId="0" borderId="0" xfId="0" applyFont="1"/>
    <xf numFmtId="9" fontId="2" fillId="0" borderId="0" xfId="2" applyFont="1"/>
    <xf numFmtId="165" fontId="2" fillId="2" borderId="0" xfId="0" applyNumberFormat="1" applyFont="1" applyFill="1"/>
    <xf numFmtId="4" fontId="2" fillId="0" borderId="0" xfId="0" applyNumberFormat="1" applyFont="1"/>
    <xf numFmtId="166" fontId="2" fillId="0" borderId="0" xfId="0" applyNumberFormat="1" applyFont="1"/>
    <xf numFmtId="0" fontId="8" fillId="2" borderId="0" xfId="0" applyFont="1" applyFill="1" applyAlignment="1">
      <alignment horizontal="center"/>
    </xf>
    <xf numFmtId="0" fontId="8" fillId="2" borderId="0" xfId="0" applyFont="1" applyFill="1"/>
    <xf numFmtId="3" fontId="2" fillId="0" borderId="3" xfId="0" applyNumberFormat="1" applyFont="1" applyBorder="1"/>
    <xf numFmtId="3" fontId="2" fillId="0" borderId="4" xfId="0" applyNumberFormat="1" applyFont="1" applyBorder="1"/>
    <xf numFmtId="0" fontId="3" fillId="2" borderId="0" xfId="0" applyFont="1" applyFill="1"/>
    <xf numFmtId="0" fontId="9" fillId="2" borderId="2" xfId="0" applyFont="1" applyFill="1" applyBorder="1"/>
    <xf numFmtId="0" fontId="2" fillId="0" borderId="0" xfId="0" applyFont="1" applyBorder="1"/>
    <xf numFmtId="0" fontId="2" fillId="0" borderId="1" xfId="0" applyFont="1" applyBorder="1"/>
    <xf numFmtId="49" fontId="2" fillId="0" borderId="0" xfId="1" applyNumberFormat="1" applyFont="1"/>
    <xf numFmtId="49" fontId="9" fillId="0" borderId="0" xfId="1" applyNumberFormat="1" applyFont="1"/>
    <xf numFmtId="164" fontId="2" fillId="0" borderId="0" xfId="1" applyNumberFormat="1" applyFont="1" applyAlignment="1">
      <alignment horizontal="center"/>
    </xf>
    <xf numFmtId="164" fontId="2" fillId="2" borderId="0" xfId="1" applyNumberFormat="1" applyFont="1" applyFill="1"/>
    <xf numFmtId="0" fontId="0" fillId="2" borderId="0" xfId="0" applyFill="1"/>
    <xf numFmtId="0" fontId="10" fillId="2" borderId="0" xfId="0" applyFont="1" applyFill="1"/>
    <xf numFmtId="0" fontId="10" fillId="2" borderId="2" xfId="0" applyFont="1" applyFill="1" applyBorder="1"/>
    <xf numFmtId="0" fontId="10" fillId="2" borderId="5" xfId="0" applyFont="1" applyFill="1" applyBorder="1"/>
    <xf numFmtId="0" fontId="11" fillId="0" borderId="0" xfId="0" applyFont="1"/>
    <xf numFmtId="3" fontId="7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2" fillId="0" borderId="0" xfId="0" applyFont="1" applyFill="1"/>
    <xf numFmtId="0" fontId="3" fillId="0" borderId="0" xfId="0" applyFont="1"/>
    <xf numFmtId="3" fontId="2" fillId="0" borderId="0" xfId="0" applyNumberFormat="1" applyFont="1" applyBorder="1"/>
    <xf numFmtId="3" fontId="9" fillId="0" borderId="0" xfId="0" applyNumberFormat="1" applyFont="1" applyBorder="1"/>
    <xf numFmtId="0" fontId="3" fillId="0" borderId="6" xfId="0" applyFont="1" applyBorder="1" applyAlignment="1">
      <alignment horizontal="justify" vertical="top" wrapText="1" readingOrder="2"/>
    </xf>
    <xf numFmtId="0" fontId="3" fillId="0" borderId="7" xfId="0" applyFont="1" applyBorder="1" applyAlignment="1">
      <alignment horizontal="center" vertical="top" wrapText="1" readingOrder="2"/>
    </xf>
    <xf numFmtId="0" fontId="2" fillId="0" borderId="8" xfId="0" applyFont="1" applyBorder="1" applyAlignment="1">
      <alignment horizontal="justify" vertical="top" wrapText="1" readingOrder="2"/>
    </xf>
    <xf numFmtId="3" fontId="2" fillId="0" borderId="9" xfId="0" applyNumberFormat="1" applyFont="1" applyBorder="1" applyAlignment="1">
      <alignment horizontal="center" vertical="top" wrapText="1" readingOrder="2"/>
    </xf>
    <xf numFmtId="164" fontId="2" fillId="0" borderId="0" xfId="1" applyNumberFormat="1" applyFont="1" applyAlignment="1"/>
    <xf numFmtId="164" fontId="2" fillId="0" borderId="2" xfId="1" applyNumberFormat="1" applyFont="1" applyBorder="1"/>
    <xf numFmtId="164" fontId="3" fillId="0" borderId="2" xfId="1" applyNumberFormat="1" applyFont="1" applyBorder="1"/>
    <xf numFmtId="0" fontId="7" fillId="0" borderId="1" xfId="0" applyFont="1" applyBorder="1" applyAlignment="1">
      <alignment horizontal="center"/>
    </xf>
    <xf numFmtId="0" fontId="12" fillId="0" borderId="0" xfId="0" applyFont="1"/>
    <xf numFmtId="0" fontId="13" fillId="0" borderId="0" xfId="0" applyFont="1"/>
    <xf numFmtId="0" fontId="14" fillId="2" borderId="0" xfId="0" applyFont="1" applyFill="1" applyAlignment="1">
      <alignment horizontal="center"/>
    </xf>
    <xf numFmtId="0" fontId="8" fillId="0" borderId="10" xfId="0" applyFont="1" applyFill="1" applyBorder="1"/>
    <xf numFmtId="0" fontId="8" fillId="0" borderId="10" xfId="0" applyFont="1" applyFill="1" applyBorder="1" applyAlignment="1">
      <alignment horizontal="center"/>
    </xf>
    <xf numFmtId="3" fontId="12" fillId="0" borderId="11" xfId="0" applyNumberFormat="1" applyFont="1" applyFill="1" applyBorder="1"/>
    <xf numFmtId="3" fontId="12" fillId="0" borderId="12" xfId="0" applyNumberFormat="1" applyFont="1" applyBorder="1"/>
    <xf numFmtId="3" fontId="12" fillId="0" borderId="0" xfId="0" applyNumberFormat="1" applyFont="1"/>
    <xf numFmtId="0" fontId="12" fillId="0" borderId="12" xfId="0" applyFont="1" applyBorder="1"/>
    <xf numFmtId="0" fontId="12" fillId="0" borderId="0" xfId="0" applyFont="1" applyBorder="1"/>
    <xf numFmtId="3" fontId="12" fillId="0" borderId="11" xfId="0" applyNumberFormat="1" applyFont="1" applyBorder="1"/>
    <xf numFmtId="0" fontId="12" fillId="0" borderId="11" xfId="0" applyFont="1" applyBorder="1"/>
    <xf numFmtId="3" fontId="12" fillId="2" borderId="0" xfId="0" applyNumberFormat="1" applyFont="1" applyFill="1"/>
    <xf numFmtId="0" fontId="12" fillId="2" borderId="0" xfId="0" applyFont="1" applyFill="1"/>
    <xf numFmtId="0" fontId="12" fillId="0" borderId="0" xfId="0" applyFont="1" applyAlignment="1">
      <alignment horizontal="left"/>
    </xf>
    <xf numFmtId="0" fontId="2" fillId="0" borderId="11" xfId="0" applyFont="1" applyBorder="1"/>
    <xf numFmtId="0" fontId="15" fillId="2" borderId="0" xfId="0" applyFont="1" applyFill="1"/>
    <xf numFmtId="0" fontId="8" fillId="0" borderId="11" xfId="0" applyFont="1" applyFill="1" applyBorder="1"/>
    <xf numFmtId="0" fontId="12" fillId="0" borderId="13" xfId="0" applyFont="1" applyBorder="1"/>
    <xf numFmtId="3" fontId="12" fillId="0" borderId="0" xfId="0" applyNumberFormat="1" applyFont="1" applyBorder="1"/>
    <xf numFmtId="3" fontId="12" fillId="0" borderId="14" xfId="0" applyNumberFormat="1" applyFont="1" applyBorder="1"/>
    <xf numFmtId="3" fontId="12" fillId="0" borderId="15" xfId="0" applyNumberFormat="1" applyFont="1" applyBorder="1"/>
    <xf numFmtId="3" fontId="12" fillId="0" borderId="16" xfId="0" applyNumberFormat="1" applyFont="1" applyBorder="1"/>
    <xf numFmtId="3" fontId="12" fillId="2" borderId="11" xfId="0" applyNumberFormat="1" applyFont="1" applyFill="1" applyBorder="1"/>
    <xf numFmtId="3" fontId="12" fillId="0" borderId="3" xfId="0" applyNumberFormat="1" applyFont="1" applyBorder="1"/>
    <xf numFmtId="3" fontId="12" fillId="0" borderId="0" xfId="0" applyNumberFormat="1" applyFont="1" applyFill="1"/>
    <xf numFmtId="0" fontId="12" fillId="0" borderId="0" xfId="0" applyFont="1" applyFill="1"/>
    <xf numFmtId="0" fontId="16" fillId="0" borderId="0" xfId="0" applyFont="1"/>
    <xf numFmtId="0" fontId="9" fillId="0" borderId="0" xfId="0" applyFont="1" applyAlignment="1">
      <alignment horizontal="center"/>
    </xf>
    <xf numFmtId="3" fontId="12" fillId="0" borderId="0" xfId="0" applyNumberFormat="1" applyFont="1" applyFill="1" applyBorder="1"/>
    <xf numFmtId="3" fontId="17" fillId="0" borderId="0" xfId="0" applyNumberFormat="1" applyFont="1" applyFill="1" applyBorder="1"/>
    <xf numFmtId="0" fontId="18" fillId="2" borderId="0" xfId="0" applyFont="1" applyFill="1"/>
    <xf numFmtId="0" fontId="3" fillId="0" borderId="0" xfId="0" applyFont="1" applyAlignment="1">
      <alignment horizontal="center"/>
    </xf>
    <xf numFmtId="0" fontId="10" fillId="0" borderId="0" xfId="0" applyFont="1"/>
    <xf numFmtId="164" fontId="5" fillId="2" borderId="2" xfId="1" applyNumberFormat="1" applyFont="1" applyFill="1" applyBorder="1"/>
    <xf numFmtId="3" fontId="12" fillId="0" borderId="17" xfId="0" applyNumberFormat="1" applyFont="1" applyBorder="1"/>
    <xf numFmtId="164" fontId="19" fillId="0" borderId="11" xfId="1" applyNumberFormat="1" applyFont="1" applyBorder="1"/>
    <xf numFmtId="164" fontId="4" fillId="0" borderId="0" xfId="1" applyNumberFormat="1" applyFont="1" applyBorder="1" applyAlignment="1">
      <alignment horizontal="center"/>
    </xf>
    <xf numFmtId="0" fontId="8" fillId="0" borderId="10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312965</xdr:colOff>
      <xdr:row>23</xdr:row>
      <xdr:rowOff>176893</xdr:rowOff>
    </xdr:from>
    <xdr:to>
      <xdr:col>2</xdr:col>
      <xdr:colOff>639536</xdr:colOff>
      <xdr:row>29</xdr:row>
      <xdr:rowOff>163286</xdr:rowOff>
    </xdr:to>
    <xdr:sp macro="" textlink="">
      <xdr:nvSpPr>
        <xdr:cNvPr id="4" name="חץ מעוקל שמאלה 3"/>
        <xdr:cNvSpPr/>
      </xdr:nvSpPr>
      <xdr:spPr>
        <a:xfrm>
          <a:off x="11145447429" y="5075464"/>
          <a:ext cx="326571" cy="1211036"/>
        </a:xfrm>
        <a:prstGeom prst="curvedLef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1" anchor="ctr"/>
        <a:lstStyle/>
        <a:p>
          <a:pPr algn="r" rtl="1"/>
          <a:endParaRPr lang="he-IL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163287</xdr:colOff>
      <xdr:row>37</xdr:row>
      <xdr:rowOff>149679</xdr:rowOff>
    </xdr:from>
    <xdr:to>
      <xdr:col>3</xdr:col>
      <xdr:colOff>244929</xdr:colOff>
      <xdr:row>39</xdr:row>
      <xdr:rowOff>68035</xdr:rowOff>
    </xdr:to>
    <xdr:cxnSp macro="">
      <xdr:nvCxnSpPr>
        <xdr:cNvPr id="6" name="מחבר חץ ישר 5"/>
        <xdr:cNvCxnSpPr/>
      </xdr:nvCxnSpPr>
      <xdr:spPr>
        <a:xfrm flipV="1">
          <a:off x="11145161679" y="7905750"/>
          <a:ext cx="81642" cy="326571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381001</xdr:colOff>
      <xdr:row>43</xdr:row>
      <xdr:rowOff>136072</xdr:rowOff>
    </xdr:from>
    <xdr:to>
      <xdr:col>5</xdr:col>
      <xdr:colOff>734786</xdr:colOff>
      <xdr:row>43</xdr:row>
      <xdr:rowOff>163286</xdr:rowOff>
    </xdr:to>
    <xdr:cxnSp macro="">
      <xdr:nvCxnSpPr>
        <xdr:cNvPr id="8" name="מחבר חץ ישר 7"/>
        <xdr:cNvCxnSpPr/>
      </xdr:nvCxnSpPr>
      <xdr:spPr>
        <a:xfrm flipV="1">
          <a:off x="11142970929" y="8912679"/>
          <a:ext cx="353785" cy="27214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5:E7"/>
  <sheetViews>
    <sheetView rightToLeft="1" workbookViewId="0">
      <selection activeCell="C22" sqref="C22"/>
    </sheetView>
  </sheetViews>
  <sheetFormatPr defaultRowHeight="14" x14ac:dyDescent="0.3"/>
  <sheetData>
    <row r="5" spans="4:5" x14ac:dyDescent="0.3">
      <c r="D5" s="94" t="s">
        <v>211</v>
      </c>
      <c r="E5" s="94"/>
    </row>
    <row r="6" spans="4:5" x14ac:dyDescent="0.3">
      <c r="D6" s="94" t="s">
        <v>212</v>
      </c>
      <c r="E6" s="94"/>
    </row>
    <row r="7" spans="4:5" x14ac:dyDescent="0.3">
      <c r="D7" s="94" t="s">
        <v>213</v>
      </c>
      <c r="E7" s="9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8"/>
  <sheetViews>
    <sheetView rightToLeft="1" topLeftCell="A68" zoomScaleNormal="100" workbookViewId="0">
      <selection activeCell="C88" sqref="C88"/>
    </sheetView>
  </sheetViews>
  <sheetFormatPr defaultColWidth="9" defaultRowHeight="15.5" x14ac:dyDescent="0.35"/>
  <cols>
    <col min="1" max="1" width="24.75" style="10" customWidth="1"/>
    <col min="2" max="2" width="13.83203125" style="10" customWidth="1"/>
    <col min="3" max="3" width="19.5" style="10" customWidth="1"/>
    <col min="4" max="4" width="10" style="10" bestFit="1" customWidth="1"/>
    <col min="5" max="5" width="9" style="10"/>
    <col min="6" max="6" width="29.58203125" style="10" customWidth="1"/>
    <col min="7" max="9" width="9" style="10"/>
    <col min="10" max="10" width="12.75" style="10" bestFit="1" customWidth="1"/>
    <col min="11" max="16384" width="9" style="10"/>
  </cols>
  <sheetData>
    <row r="1" spans="1:5" x14ac:dyDescent="0.35">
      <c r="A1" s="45" t="s">
        <v>90</v>
      </c>
    </row>
    <row r="2" spans="1:5" x14ac:dyDescent="0.35">
      <c r="E2" s="46" t="s">
        <v>0</v>
      </c>
    </row>
    <row r="3" spans="1:5" x14ac:dyDescent="0.35">
      <c r="A3" s="24" t="s">
        <v>91</v>
      </c>
    </row>
    <row r="4" spans="1:5" x14ac:dyDescent="0.35">
      <c r="A4" s="24"/>
    </row>
    <row r="5" spans="1:5" x14ac:dyDescent="0.35">
      <c r="B5" s="15"/>
      <c r="C5" s="15"/>
    </row>
    <row r="6" spans="1:5" x14ac:dyDescent="0.35">
      <c r="A6" s="10" t="s">
        <v>92</v>
      </c>
      <c r="B6" s="15">
        <f>16000*0.7</f>
        <v>11200</v>
      </c>
      <c r="C6" s="15" t="s">
        <v>93</v>
      </c>
    </row>
    <row r="7" spans="1:5" x14ac:dyDescent="0.35">
      <c r="A7" s="10" t="s">
        <v>94</v>
      </c>
      <c r="B7" s="15">
        <f>16000*0.3</f>
        <v>4800</v>
      </c>
      <c r="C7" s="15" t="s">
        <v>95</v>
      </c>
    </row>
    <row r="8" spans="1:5" x14ac:dyDescent="0.35">
      <c r="C8" s="15"/>
    </row>
    <row r="9" spans="1:5" x14ac:dyDescent="0.35">
      <c r="A9" s="10" t="s">
        <v>96</v>
      </c>
      <c r="B9" s="15">
        <f>360000*7/18</f>
        <v>140000</v>
      </c>
      <c r="C9" s="15" t="s">
        <v>97</v>
      </c>
      <c r="E9" s="47">
        <v>2</v>
      </c>
    </row>
    <row r="10" spans="1:5" x14ac:dyDescent="0.35">
      <c r="A10" s="10" t="s">
        <v>98</v>
      </c>
      <c r="B10" s="15">
        <f>B9</f>
        <v>140000</v>
      </c>
      <c r="C10" s="15"/>
    </row>
    <row r="11" spans="1:5" x14ac:dyDescent="0.35">
      <c r="B11" s="15"/>
      <c r="C11" s="15"/>
    </row>
    <row r="12" spans="1:5" x14ac:dyDescent="0.35">
      <c r="A12" s="10" t="s">
        <v>99</v>
      </c>
      <c r="B12" s="15">
        <f>70000/10*2</f>
        <v>14000</v>
      </c>
      <c r="C12" s="15" t="s">
        <v>100</v>
      </c>
    </row>
    <row r="13" spans="1:5" x14ac:dyDescent="0.35">
      <c r="A13" s="10" t="s">
        <v>101</v>
      </c>
      <c r="B13" s="15">
        <f>40000/10*2</f>
        <v>8000</v>
      </c>
      <c r="C13" s="15" t="s">
        <v>102</v>
      </c>
    </row>
    <row r="14" spans="1:5" x14ac:dyDescent="0.35">
      <c r="A14" s="10" t="s">
        <v>103</v>
      </c>
      <c r="B14" s="15">
        <f>B12+B13</f>
        <v>22000</v>
      </c>
      <c r="C14" s="15"/>
      <c r="E14" s="47">
        <v>3</v>
      </c>
    </row>
    <row r="16" spans="1:5" x14ac:dyDescent="0.35">
      <c r="A16" s="10" t="s">
        <v>104</v>
      </c>
      <c r="B16" s="15"/>
      <c r="C16" s="15"/>
    </row>
    <row r="17" spans="1:6" x14ac:dyDescent="0.35">
      <c r="A17" s="10" t="s">
        <v>105</v>
      </c>
      <c r="B17" s="15">
        <v>82000</v>
      </c>
      <c r="C17" s="15"/>
      <c r="E17" s="48"/>
      <c r="F17" s="49"/>
    </row>
    <row r="18" spans="1:6" x14ac:dyDescent="0.35">
      <c r="A18" s="10" t="s">
        <v>106</v>
      </c>
      <c r="B18" s="15">
        <v>82000</v>
      </c>
      <c r="C18" s="15"/>
    </row>
    <row r="19" spans="1:6" x14ac:dyDescent="0.35">
      <c r="B19" s="15"/>
      <c r="C19" s="15"/>
    </row>
    <row r="21" spans="1:6" x14ac:dyDescent="0.35">
      <c r="A21" s="12" t="s">
        <v>107</v>
      </c>
      <c r="B21" s="12"/>
      <c r="C21" s="12"/>
      <c r="D21" s="24"/>
      <c r="E21" s="24"/>
    </row>
    <row r="22" spans="1:6" x14ac:dyDescent="0.35">
      <c r="B22" s="15"/>
    </row>
    <row r="23" spans="1:6" x14ac:dyDescent="0.35">
      <c r="A23" s="10" t="s">
        <v>108</v>
      </c>
      <c r="C23" s="15">
        <f>B36</f>
        <v>710000</v>
      </c>
    </row>
    <row r="24" spans="1:6" x14ac:dyDescent="0.35">
      <c r="A24" s="10" t="s">
        <v>109</v>
      </c>
      <c r="C24" s="18">
        <f>-B41</f>
        <v>-287000</v>
      </c>
    </row>
    <row r="25" spans="1:6" x14ac:dyDescent="0.35">
      <c r="A25" s="10" t="s">
        <v>110</v>
      </c>
      <c r="C25" s="15">
        <f>SUM(C23:C24)</f>
        <v>423000</v>
      </c>
    </row>
    <row r="26" spans="1:6" x14ac:dyDescent="0.35">
      <c r="A26" s="10" t="s">
        <v>111</v>
      </c>
      <c r="C26" s="15">
        <f>-B52</f>
        <v>-162800</v>
      </c>
    </row>
    <row r="27" spans="1:6" x14ac:dyDescent="0.35">
      <c r="A27" s="10" t="s">
        <v>112</v>
      </c>
      <c r="C27" s="15">
        <f>-D57</f>
        <v>-441700</v>
      </c>
    </row>
    <row r="28" spans="1:6" x14ac:dyDescent="0.35">
      <c r="A28" s="10" t="s">
        <v>113</v>
      </c>
      <c r="C28" s="17">
        <v>34000</v>
      </c>
    </row>
    <row r="29" spans="1:6" x14ac:dyDescent="0.35">
      <c r="A29" s="10" t="s">
        <v>216</v>
      </c>
      <c r="C29" s="15">
        <f>SUM(C25:C28)</f>
        <v>-147500</v>
      </c>
    </row>
    <row r="30" spans="1:6" x14ac:dyDescent="0.35">
      <c r="A30" s="10" t="s">
        <v>114</v>
      </c>
      <c r="C30" s="17">
        <v>-7000</v>
      </c>
    </row>
    <row r="31" spans="1:6" x14ac:dyDescent="0.35">
      <c r="A31" s="50" t="s">
        <v>115</v>
      </c>
      <c r="B31" s="50"/>
      <c r="C31" s="21">
        <f>SUM(C29:C30)</f>
        <v>-154500</v>
      </c>
      <c r="E31" s="47">
        <v>3</v>
      </c>
    </row>
    <row r="33" spans="1:5" x14ac:dyDescent="0.35">
      <c r="A33" s="10" t="s">
        <v>116</v>
      </c>
    </row>
    <row r="34" spans="1:5" x14ac:dyDescent="0.35">
      <c r="A34" s="10" t="s">
        <v>117</v>
      </c>
      <c r="B34" s="15">
        <v>743000</v>
      </c>
    </row>
    <row r="35" spans="1:5" x14ac:dyDescent="0.35">
      <c r="A35" s="10" t="s">
        <v>118</v>
      </c>
      <c r="B35" s="17">
        <v>-33000</v>
      </c>
    </row>
    <row r="36" spans="1:5" x14ac:dyDescent="0.35">
      <c r="B36" s="15">
        <f>SUM(B34:B35)</f>
        <v>710000</v>
      </c>
      <c r="E36" s="47">
        <v>1</v>
      </c>
    </row>
    <row r="37" spans="1:5" x14ac:dyDescent="0.35">
      <c r="A37" s="10" t="s">
        <v>119</v>
      </c>
      <c r="B37" s="15"/>
      <c r="E37" s="48"/>
    </row>
    <row r="38" spans="1:5" x14ac:dyDescent="0.35">
      <c r="A38" s="10" t="s">
        <v>68</v>
      </c>
      <c r="B38" s="15">
        <v>72000</v>
      </c>
      <c r="E38" s="48"/>
    </row>
    <row r="39" spans="1:5" x14ac:dyDescent="0.35">
      <c r="A39" s="10" t="s">
        <v>120</v>
      </c>
      <c r="B39" s="15">
        <f>B46</f>
        <v>297000</v>
      </c>
      <c r="E39" s="48"/>
    </row>
    <row r="40" spans="1:5" x14ac:dyDescent="0.35">
      <c r="A40" s="10" t="s">
        <v>121</v>
      </c>
      <c r="B40" s="17">
        <f>-B18</f>
        <v>-82000</v>
      </c>
      <c r="E40" s="48"/>
    </row>
    <row r="41" spans="1:5" x14ac:dyDescent="0.35">
      <c r="B41" s="15">
        <f>SUM(B38:B40)</f>
        <v>287000</v>
      </c>
      <c r="E41" s="47">
        <v>1</v>
      </c>
    </row>
    <row r="42" spans="1:5" x14ac:dyDescent="0.35">
      <c r="B42" s="15"/>
      <c r="E42" s="48"/>
    </row>
    <row r="43" spans="1:5" x14ac:dyDescent="0.35">
      <c r="A43" s="24" t="s">
        <v>120</v>
      </c>
    </row>
    <row r="44" spans="1:5" x14ac:dyDescent="0.35">
      <c r="A44" s="10" t="s">
        <v>217</v>
      </c>
      <c r="B44" s="15">
        <v>302000</v>
      </c>
    </row>
    <row r="45" spans="1:5" x14ac:dyDescent="0.35">
      <c r="A45" s="10" t="s">
        <v>122</v>
      </c>
      <c r="B45" s="17">
        <v>-5000</v>
      </c>
    </row>
    <row r="46" spans="1:5" x14ac:dyDescent="0.35">
      <c r="B46" s="15">
        <f>SUM(B44:B45)</f>
        <v>297000</v>
      </c>
      <c r="E46" s="47">
        <v>1</v>
      </c>
    </row>
    <row r="47" spans="1:5" x14ac:dyDescent="0.35">
      <c r="E47" s="15"/>
    </row>
    <row r="48" spans="1:5" x14ac:dyDescent="0.35">
      <c r="A48" s="24" t="s">
        <v>123</v>
      </c>
      <c r="B48" s="24"/>
      <c r="C48" s="24" t="s">
        <v>112</v>
      </c>
      <c r="D48" s="24"/>
      <c r="E48" s="15"/>
    </row>
    <row r="49" spans="1:5" x14ac:dyDescent="0.35">
      <c r="A49" s="10" t="s">
        <v>124</v>
      </c>
      <c r="B49" s="15">
        <f>B7</f>
        <v>4800</v>
      </c>
      <c r="C49" s="10" t="s">
        <v>124</v>
      </c>
      <c r="D49" s="15">
        <f>B6</f>
        <v>11200</v>
      </c>
      <c r="E49" s="15"/>
    </row>
    <row r="50" spans="1:5" x14ac:dyDescent="0.35">
      <c r="A50" s="10" t="s">
        <v>125</v>
      </c>
      <c r="B50" s="15">
        <v>81000</v>
      </c>
      <c r="C50" s="10" t="s">
        <v>126</v>
      </c>
      <c r="D50" s="15">
        <v>48000</v>
      </c>
      <c r="E50" s="15"/>
    </row>
    <row r="51" spans="1:5" x14ac:dyDescent="0.35">
      <c r="A51" s="10" t="s">
        <v>127</v>
      </c>
      <c r="B51" s="17">
        <v>77000</v>
      </c>
      <c r="C51" s="10" t="s">
        <v>128</v>
      </c>
      <c r="D51" s="15">
        <v>49000</v>
      </c>
      <c r="E51" s="15"/>
    </row>
    <row r="52" spans="1:5" x14ac:dyDescent="0.35">
      <c r="B52" s="51">
        <f>SUM(B49:B51)</f>
        <v>162800</v>
      </c>
      <c r="C52" s="10" t="s">
        <v>129</v>
      </c>
      <c r="D52" s="15">
        <v>7500</v>
      </c>
      <c r="E52" s="15"/>
    </row>
    <row r="53" spans="1:5" x14ac:dyDescent="0.35">
      <c r="B53" s="52"/>
      <c r="C53" s="10" t="s">
        <v>130</v>
      </c>
      <c r="D53" s="15">
        <v>84000</v>
      </c>
      <c r="E53" s="15"/>
    </row>
    <row r="54" spans="1:5" x14ac:dyDescent="0.35">
      <c r="B54" s="52"/>
      <c r="C54" s="10" t="s">
        <v>131</v>
      </c>
      <c r="D54" s="15">
        <f>B10</f>
        <v>140000</v>
      </c>
      <c r="E54" s="15"/>
    </row>
    <row r="55" spans="1:5" x14ac:dyDescent="0.35">
      <c r="B55" s="52"/>
      <c r="C55" s="10" t="s">
        <v>132</v>
      </c>
      <c r="D55" s="15">
        <v>86000</v>
      </c>
      <c r="E55" s="15"/>
    </row>
    <row r="56" spans="1:5" x14ac:dyDescent="0.35">
      <c r="B56" s="15"/>
      <c r="C56" s="10" t="s">
        <v>133</v>
      </c>
      <c r="D56" s="52">
        <v>16000</v>
      </c>
      <c r="E56" s="15"/>
    </row>
    <row r="57" spans="1:5" x14ac:dyDescent="0.35">
      <c r="D57" s="15">
        <f>SUM(D49:D56)</f>
        <v>441700</v>
      </c>
      <c r="E57" s="15"/>
    </row>
    <row r="58" spans="1:5" x14ac:dyDescent="0.35">
      <c r="D58" s="15"/>
      <c r="E58" s="15"/>
    </row>
    <row r="59" spans="1:5" x14ac:dyDescent="0.35">
      <c r="D59" s="15"/>
      <c r="E59" s="15"/>
    </row>
    <row r="60" spans="1:5" x14ac:dyDescent="0.35">
      <c r="B60" s="15"/>
      <c r="D60" s="17"/>
      <c r="E60" s="15"/>
    </row>
    <row r="61" spans="1:5" x14ac:dyDescent="0.35">
      <c r="B61" s="47">
        <v>1</v>
      </c>
      <c r="D61" s="15"/>
      <c r="E61" s="47">
        <v>2</v>
      </c>
    </row>
    <row r="62" spans="1:5" x14ac:dyDescent="0.35">
      <c r="B62" s="15"/>
      <c r="E62" s="15"/>
    </row>
    <row r="63" spans="1:5" x14ac:dyDescent="0.35">
      <c r="A63" s="12" t="s">
        <v>134</v>
      </c>
      <c r="B63" s="12"/>
      <c r="E63" s="15"/>
    </row>
    <row r="65" spans="1:5" x14ac:dyDescent="0.35">
      <c r="A65" s="24" t="s">
        <v>135</v>
      </c>
      <c r="B65" s="24"/>
      <c r="C65" s="24" t="s">
        <v>136</v>
      </c>
    </row>
    <row r="66" spans="1:5" x14ac:dyDescent="0.35">
      <c r="E66" s="15"/>
    </row>
    <row r="67" spans="1:5" x14ac:dyDescent="0.35">
      <c r="A67" s="10" t="s">
        <v>137</v>
      </c>
      <c r="B67" s="15">
        <v>31000</v>
      </c>
      <c r="C67" s="15" t="s">
        <v>67</v>
      </c>
      <c r="D67" s="15">
        <v>71000</v>
      </c>
      <c r="E67" s="15"/>
    </row>
    <row r="68" spans="1:5" x14ac:dyDescent="0.35">
      <c r="A68" s="10" t="s">
        <v>138</v>
      </c>
      <c r="B68" s="15">
        <v>17000</v>
      </c>
      <c r="C68" s="10" t="s">
        <v>139</v>
      </c>
      <c r="D68" s="15">
        <f>B14</f>
        <v>22000</v>
      </c>
      <c r="E68" s="15"/>
    </row>
    <row r="69" spans="1:5" x14ac:dyDescent="0.35">
      <c r="A69" s="10" t="s">
        <v>140</v>
      </c>
      <c r="B69" s="15">
        <f>B87</f>
        <v>70000</v>
      </c>
      <c r="C69" s="15" t="s">
        <v>141</v>
      </c>
      <c r="D69" s="17">
        <v>26000</v>
      </c>
      <c r="E69" s="15"/>
    </row>
    <row r="70" spans="1:5" x14ac:dyDescent="0.35">
      <c r="A70" s="10" t="s">
        <v>142</v>
      </c>
      <c r="B70" s="15">
        <f>360000-B10</f>
        <v>220000</v>
      </c>
      <c r="C70" s="15"/>
      <c r="D70" s="15">
        <f>SUM(D67:D69)</f>
        <v>119000</v>
      </c>
      <c r="E70" s="15"/>
    </row>
    <row r="71" spans="1:5" x14ac:dyDescent="0.35">
      <c r="A71" s="10" t="s">
        <v>121</v>
      </c>
      <c r="B71" s="17">
        <f>B17</f>
        <v>82000</v>
      </c>
      <c r="C71" s="15"/>
      <c r="D71" s="17"/>
      <c r="E71" s="15"/>
    </row>
    <row r="72" spans="1:5" x14ac:dyDescent="0.35">
      <c r="B72" s="15">
        <f>SUM(B67:B71)</f>
        <v>420000</v>
      </c>
      <c r="C72" s="24" t="s">
        <v>143</v>
      </c>
      <c r="D72" s="15"/>
      <c r="E72" s="15"/>
    </row>
    <row r="74" spans="1:5" x14ac:dyDescent="0.35">
      <c r="C74" s="10" t="s">
        <v>144</v>
      </c>
      <c r="D74" s="15">
        <v>180000</v>
      </c>
    </row>
    <row r="75" spans="1:5" x14ac:dyDescent="0.35">
      <c r="A75" s="24" t="s">
        <v>145</v>
      </c>
      <c r="B75" s="15"/>
      <c r="C75" s="15"/>
      <c r="D75" s="15"/>
    </row>
    <row r="76" spans="1:5" x14ac:dyDescent="0.35">
      <c r="B76" s="15"/>
      <c r="C76" s="24" t="s">
        <v>146</v>
      </c>
    </row>
    <row r="77" spans="1:5" x14ac:dyDescent="0.35">
      <c r="A77" s="10" t="s">
        <v>147</v>
      </c>
      <c r="B77" s="15">
        <f>B92</f>
        <v>153000</v>
      </c>
      <c r="C77" s="15" t="s">
        <v>148</v>
      </c>
      <c r="D77" s="15">
        <v>260000</v>
      </c>
    </row>
    <row r="78" spans="1:5" x14ac:dyDescent="0.35">
      <c r="A78" s="10" t="s">
        <v>149</v>
      </c>
      <c r="B78" s="17">
        <v>104000</v>
      </c>
      <c r="C78" s="15" t="s">
        <v>150</v>
      </c>
      <c r="D78" s="17">
        <f>B97</f>
        <v>118000</v>
      </c>
    </row>
    <row r="79" spans="1:5" x14ac:dyDescent="0.35">
      <c r="B79" s="15">
        <f>SUM(B77:B78)</f>
        <v>257000</v>
      </c>
      <c r="C79" s="15"/>
      <c r="D79" s="15">
        <f>SUM(D77:D78)</f>
        <v>378000</v>
      </c>
    </row>
    <row r="80" spans="1:5" x14ac:dyDescent="0.35">
      <c r="B80" s="15"/>
      <c r="C80" s="15"/>
      <c r="D80" s="15"/>
    </row>
    <row r="81" spans="1:5" ht="16" thickBot="1" x14ac:dyDescent="0.4">
      <c r="B81" s="32">
        <f>B72+B79</f>
        <v>677000</v>
      </c>
      <c r="C81" s="15"/>
      <c r="D81" s="32">
        <f>D79+D74+D70</f>
        <v>677000</v>
      </c>
      <c r="E81" s="47">
        <v>4</v>
      </c>
    </row>
    <row r="82" spans="1:5" ht="16" thickTop="1" x14ac:dyDescent="0.35">
      <c r="B82" s="15"/>
      <c r="C82" s="15"/>
      <c r="D82" s="15"/>
    </row>
    <row r="83" spans="1:5" x14ac:dyDescent="0.35">
      <c r="B83" s="15"/>
    </row>
    <row r="84" spans="1:5" x14ac:dyDescent="0.35">
      <c r="A84" s="24" t="s">
        <v>140</v>
      </c>
    </row>
    <row r="85" spans="1:5" x14ac:dyDescent="0.35">
      <c r="A85" s="10" t="s">
        <v>151</v>
      </c>
      <c r="B85" s="15">
        <v>98000</v>
      </c>
    </row>
    <row r="86" spans="1:5" x14ac:dyDescent="0.35">
      <c r="A86" s="10" t="s">
        <v>152</v>
      </c>
      <c r="B86" s="18">
        <v>-28000</v>
      </c>
    </row>
    <row r="87" spans="1:5" x14ac:dyDescent="0.35">
      <c r="B87" s="15">
        <f>SUM(B85:B86)</f>
        <v>70000</v>
      </c>
      <c r="E87" s="47">
        <v>1</v>
      </c>
    </row>
    <row r="88" spans="1:5" x14ac:dyDescent="0.35">
      <c r="B88" s="15"/>
    </row>
    <row r="89" spans="1:5" x14ac:dyDescent="0.35">
      <c r="A89" s="24" t="s">
        <v>147</v>
      </c>
      <c r="B89" s="15"/>
    </row>
    <row r="90" spans="1:5" x14ac:dyDescent="0.35">
      <c r="A90" s="10" t="s">
        <v>153</v>
      </c>
      <c r="B90" s="15">
        <v>220000</v>
      </c>
    </row>
    <row r="91" spans="1:5" x14ac:dyDescent="0.35">
      <c r="A91" s="10" t="s">
        <v>154</v>
      </c>
      <c r="B91" s="17">
        <v>-67000</v>
      </c>
    </row>
    <row r="92" spans="1:5" x14ac:dyDescent="0.35">
      <c r="B92" s="15">
        <f>SUM(B90:B91)</f>
        <v>153000</v>
      </c>
      <c r="E92" s="47">
        <v>1</v>
      </c>
    </row>
    <row r="93" spans="1:5" x14ac:dyDescent="0.35">
      <c r="B93" s="15"/>
    </row>
    <row r="94" spans="1:5" x14ac:dyDescent="0.35">
      <c r="A94" s="17" t="s">
        <v>150</v>
      </c>
      <c r="B94" s="15"/>
    </row>
    <row r="95" spans="1:5" x14ac:dyDescent="0.35">
      <c r="A95" s="10" t="s">
        <v>155</v>
      </c>
      <c r="B95" s="15">
        <v>272500</v>
      </c>
    </row>
    <row r="96" spans="1:5" x14ac:dyDescent="0.35">
      <c r="A96" s="10" t="s">
        <v>156</v>
      </c>
      <c r="B96" s="17">
        <f>C31</f>
        <v>-154500</v>
      </c>
    </row>
    <row r="97" spans="2:5" x14ac:dyDescent="0.35">
      <c r="B97" s="15">
        <f>SUM(B95:B96)</f>
        <v>118000</v>
      </c>
      <c r="E97" s="47">
        <v>1</v>
      </c>
    </row>
    <row r="98" spans="2:5" x14ac:dyDescent="0.35">
      <c r="B98" s="15"/>
    </row>
    <row r="100" spans="2:5" x14ac:dyDescent="0.35">
      <c r="D100" s="33" t="s">
        <v>215</v>
      </c>
      <c r="E100" s="33">
        <f>E9+E14+E31+E36+E41+E46+B61+E61+E81+E87+E92+E97</f>
        <v>21</v>
      </c>
    </row>
    <row r="126" spans="1:2" ht="16" thickBot="1" x14ac:dyDescent="0.4"/>
    <row r="127" spans="1:2" ht="16" thickBot="1" x14ac:dyDescent="0.4">
      <c r="A127" s="53" t="s">
        <v>157</v>
      </c>
      <c r="B127" s="54" t="s">
        <v>158</v>
      </c>
    </row>
    <row r="128" spans="1:2" ht="16" thickBot="1" x14ac:dyDescent="0.4">
      <c r="A128" s="55" t="s">
        <v>159</v>
      </c>
      <c r="B128" s="56">
        <v>31000</v>
      </c>
    </row>
    <row r="129" spans="1:3" ht="16" thickBot="1" x14ac:dyDescent="0.4">
      <c r="A129" s="55" t="s">
        <v>160</v>
      </c>
      <c r="C129" s="56">
        <v>180000</v>
      </c>
    </row>
    <row r="130" spans="1:3" ht="16" thickBot="1" x14ac:dyDescent="0.4">
      <c r="A130" s="55" t="s">
        <v>161</v>
      </c>
      <c r="B130" s="56">
        <v>72000</v>
      </c>
    </row>
    <row r="131" spans="1:3" ht="16" thickBot="1" x14ac:dyDescent="0.4">
      <c r="A131" s="55" t="s">
        <v>162</v>
      </c>
      <c r="B131" s="56">
        <v>40000</v>
      </c>
    </row>
    <row r="132" spans="1:3" ht="16" thickBot="1" x14ac:dyDescent="0.4">
      <c r="A132" s="55" t="s">
        <v>163</v>
      </c>
      <c r="B132" s="56">
        <v>16000</v>
      </c>
    </row>
    <row r="133" spans="1:3" ht="16" thickBot="1" x14ac:dyDescent="0.4">
      <c r="A133" s="55" t="s">
        <v>118</v>
      </c>
      <c r="B133" s="56">
        <v>33000</v>
      </c>
    </row>
    <row r="134" spans="1:3" ht="16" thickBot="1" x14ac:dyDescent="0.4">
      <c r="A134" s="55" t="s">
        <v>148</v>
      </c>
      <c r="C134" s="56">
        <v>260000</v>
      </c>
    </row>
    <row r="135" spans="1:3" ht="16" thickBot="1" x14ac:dyDescent="0.4">
      <c r="A135" s="55" t="s">
        <v>164</v>
      </c>
      <c r="B135" s="56">
        <v>16000</v>
      </c>
    </row>
    <row r="136" spans="1:3" ht="16" thickBot="1" x14ac:dyDescent="0.4">
      <c r="A136" s="55" t="s">
        <v>165</v>
      </c>
      <c r="C136" s="56">
        <v>272500</v>
      </c>
    </row>
    <row r="137" spans="1:3" ht="16" thickBot="1" x14ac:dyDescent="0.4">
      <c r="A137" s="55" t="s">
        <v>138</v>
      </c>
      <c r="B137" s="56">
        <v>17000</v>
      </c>
    </row>
    <row r="138" spans="1:3" ht="16" thickBot="1" x14ac:dyDescent="0.4">
      <c r="A138" s="55" t="s">
        <v>166</v>
      </c>
      <c r="B138" s="56">
        <v>86000</v>
      </c>
    </row>
    <row r="139" spans="1:3" ht="16" thickBot="1" x14ac:dyDescent="0.4">
      <c r="A139" s="55" t="s">
        <v>153</v>
      </c>
      <c r="B139" s="56">
        <v>220000</v>
      </c>
    </row>
    <row r="140" spans="1:3" ht="16" thickBot="1" x14ac:dyDescent="0.4">
      <c r="A140" s="55" t="s">
        <v>167</v>
      </c>
      <c r="C140" s="56">
        <v>67000</v>
      </c>
    </row>
    <row r="141" spans="1:3" ht="16" thickBot="1" x14ac:dyDescent="0.4">
      <c r="A141" s="55" t="s">
        <v>168</v>
      </c>
      <c r="B141" s="56">
        <v>49000</v>
      </c>
    </row>
    <row r="142" spans="1:3" ht="16" thickBot="1" x14ac:dyDescent="0.4">
      <c r="A142" s="55" t="s">
        <v>122</v>
      </c>
      <c r="C142" s="56">
        <v>5000</v>
      </c>
    </row>
    <row r="143" spans="1:3" ht="16" thickBot="1" x14ac:dyDescent="0.4">
      <c r="A143" s="55" t="s">
        <v>169</v>
      </c>
      <c r="B143" s="56">
        <v>7000</v>
      </c>
    </row>
    <row r="144" spans="1:3" ht="16" thickBot="1" x14ac:dyDescent="0.4">
      <c r="A144" s="55" t="s">
        <v>67</v>
      </c>
      <c r="C144" s="56">
        <v>71000</v>
      </c>
    </row>
    <row r="145" spans="1:3" ht="16" thickBot="1" x14ac:dyDescent="0.4">
      <c r="A145" s="55" t="s">
        <v>151</v>
      </c>
      <c r="B145" s="56">
        <v>98000</v>
      </c>
    </row>
    <row r="146" spans="1:3" ht="16" thickBot="1" x14ac:dyDescent="0.4">
      <c r="A146" s="55" t="s">
        <v>127</v>
      </c>
      <c r="B146" s="56">
        <v>77000</v>
      </c>
    </row>
    <row r="147" spans="1:3" ht="16" thickBot="1" x14ac:dyDescent="0.4">
      <c r="A147" s="55" t="s">
        <v>170</v>
      </c>
      <c r="B147" s="56">
        <v>360000</v>
      </c>
    </row>
    <row r="148" spans="1:3" ht="16" thickBot="1" x14ac:dyDescent="0.4">
      <c r="A148" s="55" t="s">
        <v>171</v>
      </c>
      <c r="C148" s="56">
        <v>743000</v>
      </c>
    </row>
    <row r="149" spans="1:3" ht="16" thickBot="1" x14ac:dyDescent="0.4">
      <c r="A149" s="55" t="s">
        <v>152</v>
      </c>
      <c r="C149" s="56">
        <v>28000</v>
      </c>
    </row>
    <row r="150" spans="1:3" ht="16" thickBot="1" x14ac:dyDescent="0.4">
      <c r="A150" s="55" t="s">
        <v>172</v>
      </c>
      <c r="B150" s="56">
        <v>302000</v>
      </c>
    </row>
    <row r="151" spans="1:3" ht="16" thickBot="1" x14ac:dyDescent="0.4">
      <c r="A151" s="55" t="s">
        <v>173</v>
      </c>
      <c r="C151" s="56">
        <v>34000</v>
      </c>
    </row>
    <row r="152" spans="1:3" ht="16" thickBot="1" x14ac:dyDescent="0.4">
      <c r="A152" s="55" t="s">
        <v>174</v>
      </c>
      <c r="B152" s="56">
        <v>7500</v>
      </c>
    </row>
    <row r="153" spans="1:3" ht="16" thickBot="1" x14ac:dyDescent="0.4">
      <c r="A153" s="55" t="s">
        <v>141</v>
      </c>
      <c r="C153" s="56">
        <v>26000</v>
      </c>
    </row>
    <row r="154" spans="1:3" ht="16" thickBot="1" x14ac:dyDescent="0.4">
      <c r="A154" s="55" t="s">
        <v>175</v>
      </c>
      <c r="B154" s="56">
        <v>81000</v>
      </c>
    </row>
    <row r="155" spans="1:3" ht="16" thickBot="1" x14ac:dyDescent="0.4">
      <c r="A155" s="55" t="s">
        <v>176</v>
      </c>
      <c r="B155" s="56">
        <v>104000</v>
      </c>
    </row>
    <row r="156" spans="1:3" ht="16" thickBot="1" x14ac:dyDescent="0.4">
      <c r="A156" s="55" t="s">
        <v>177</v>
      </c>
      <c r="B156" s="56">
        <v>70000</v>
      </c>
    </row>
    <row r="158" spans="1:3" x14ac:dyDescent="0.35">
      <c r="B158" s="15">
        <f>SUM(B128:B157)</f>
        <v>1686500</v>
      </c>
      <c r="C158" s="15">
        <f>SUM(C128:C157)</f>
        <v>1686500</v>
      </c>
    </row>
  </sheetData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rightToLeft="1" workbookViewId="0">
      <selection activeCell="E4" sqref="E4"/>
    </sheetView>
  </sheetViews>
  <sheetFormatPr defaultColWidth="9" defaultRowHeight="15.5" x14ac:dyDescent="0.35"/>
  <cols>
    <col min="1" max="1" width="18.83203125" style="1" customWidth="1"/>
    <col min="2" max="2" width="14.83203125" style="1" customWidth="1"/>
    <col min="3" max="3" width="15" style="1" customWidth="1"/>
    <col min="4" max="16384" width="9" style="1"/>
  </cols>
  <sheetData>
    <row r="1" spans="1:5" x14ac:dyDescent="0.35">
      <c r="A1" s="45" t="s">
        <v>178</v>
      </c>
    </row>
    <row r="2" spans="1:5" x14ac:dyDescent="0.35">
      <c r="A2" s="45"/>
    </row>
    <row r="3" spans="1:5" ht="18.5" x14ac:dyDescent="0.65">
      <c r="A3" s="98" t="s">
        <v>179</v>
      </c>
      <c r="B3" s="98"/>
      <c r="E3" s="40" t="s">
        <v>0</v>
      </c>
    </row>
    <row r="4" spans="1:5" x14ac:dyDescent="0.35">
      <c r="A4" s="1" t="s">
        <v>180</v>
      </c>
      <c r="B4" s="1">
        <f>B11</f>
        <v>1013000</v>
      </c>
      <c r="E4" s="40"/>
    </row>
    <row r="5" spans="1:5" ht="18.5" x14ac:dyDescent="0.65">
      <c r="A5" s="1" t="s">
        <v>181</v>
      </c>
      <c r="B5" s="5">
        <f>-B18</f>
        <v>-653500</v>
      </c>
      <c r="E5" s="40"/>
    </row>
    <row r="6" spans="1:5" x14ac:dyDescent="0.35">
      <c r="A6" s="1" t="s">
        <v>110</v>
      </c>
      <c r="B6" s="1">
        <f>SUM(B4:B5)</f>
        <v>359500</v>
      </c>
      <c r="E6" s="40">
        <v>1</v>
      </c>
    </row>
    <row r="7" spans="1:5" x14ac:dyDescent="0.35">
      <c r="E7" s="40"/>
    </row>
    <row r="8" spans="1:5" ht="18.5" x14ac:dyDescent="0.65">
      <c r="A8" s="5" t="s">
        <v>180</v>
      </c>
      <c r="E8" s="40"/>
    </row>
    <row r="9" spans="1:5" x14ac:dyDescent="0.35">
      <c r="A9" s="1" t="s">
        <v>182</v>
      </c>
      <c r="B9" s="1">
        <v>1045000</v>
      </c>
      <c r="E9" s="40"/>
    </row>
    <row r="10" spans="1:5" ht="18.5" x14ac:dyDescent="0.65">
      <c r="A10" s="1" t="s">
        <v>118</v>
      </c>
      <c r="B10" s="5">
        <v>-32000</v>
      </c>
      <c r="E10" s="40"/>
    </row>
    <row r="11" spans="1:5" x14ac:dyDescent="0.35">
      <c r="A11" s="1" t="s">
        <v>180</v>
      </c>
      <c r="B11" s="1">
        <f>SUM(B9:B10)</f>
        <v>1013000</v>
      </c>
      <c r="E11" s="40">
        <v>1</v>
      </c>
    </row>
    <row r="12" spans="1:5" x14ac:dyDescent="0.35">
      <c r="E12" s="40"/>
    </row>
    <row r="13" spans="1:5" ht="18.5" x14ac:dyDescent="0.65">
      <c r="A13" s="5" t="s">
        <v>181</v>
      </c>
      <c r="E13" s="40"/>
    </row>
    <row r="14" spans="1:5" x14ac:dyDescent="0.35">
      <c r="A14" s="57" t="s">
        <v>68</v>
      </c>
      <c r="B14" s="1">
        <v>17000</v>
      </c>
      <c r="E14" s="40"/>
    </row>
    <row r="15" spans="1:5" x14ac:dyDescent="0.35">
      <c r="A15" s="57" t="s">
        <v>172</v>
      </c>
      <c r="B15" s="1">
        <v>682000</v>
      </c>
      <c r="E15" s="40"/>
    </row>
    <row r="16" spans="1:5" x14ac:dyDescent="0.35">
      <c r="A16" s="57" t="s">
        <v>122</v>
      </c>
      <c r="B16" s="1">
        <v>-10500</v>
      </c>
      <c r="E16" s="40"/>
    </row>
    <row r="17" spans="1:5" x14ac:dyDescent="0.35">
      <c r="A17" s="57" t="s">
        <v>121</v>
      </c>
      <c r="B17" s="58">
        <v>-35000</v>
      </c>
      <c r="E17" s="40"/>
    </row>
    <row r="18" spans="1:5" x14ac:dyDescent="0.35">
      <c r="B18" s="1">
        <f>SUM(B14:B17)</f>
        <v>653500</v>
      </c>
      <c r="E18" s="40">
        <v>1</v>
      </c>
    </row>
    <row r="19" spans="1:5" x14ac:dyDescent="0.35">
      <c r="E19" s="40"/>
    </row>
    <row r="20" spans="1:5" x14ac:dyDescent="0.35">
      <c r="E20" s="40"/>
    </row>
    <row r="21" spans="1:5" x14ac:dyDescent="0.35">
      <c r="A21" s="59" t="s">
        <v>183</v>
      </c>
      <c r="B21" s="59"/>
      <c r="E21" s="40"/>
    </row>
    <row r="22" spans="1:5" x14ac:dyDescent="0.35">
      <c r="A22" s="1" t="s">
        <v>184</v>
      </c>
      <c r="B22" s="1">
        <f>220000/10*12</f>
        <v>264000</v>
      </c>
      <c r="C22" s="1" t="s">
        <v>185</v>
      </c>
      <c r="E22" s="40">
        <v>2</v>
      </c>
    </row>
    <row r="23" spans="1:5" ht="18.5" x14ac:dyDescent="0.65">
      <c r="A23" s="1" t="s">
        <v>186</v>
      </c>
      <c r="B23" s="5">
        <f>B6*0.03</f>
        <v>10785</v>
      </c>
      <c r="C23" s="1" t="s">
        <v>187</v>
      </c>
      <c r="E23" s="40">
        <v>1</v>
      </c>
    </row>
    <row r="24" spans="1:5" x14ac:dyDescent="0.35">
      <c r="B24" s="4">
        <f>SUM(B22:B23)</f>
        <v>274785</v>
      </c>
      <c r="E24" s="40"/>
    </row>
    <row r="25" spans="1:5" ht="18.5" x14ac:dyDescent="0.65">
      <c r="E25" s="95"/>
    </row>
    <row r="26" spans="1:5" x14ac:dyDescent="0.35">
      <c r="D26" s="1" t="s">
        <v>9</v>
      </c>
      <c r="E26" s="40">
        <f>SUM(E4:E25)</f>
        <v>6</v>
      </c>
    </row>
  </sheetData>
  <mergeCells count="1">
    <mergeCell ref="A3:B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3"/>
  <sheetViews>
    <sheetView rightToLeft="1" topLeftCell="A37" zoomScaleNormal="100" workbookViewId="0">
      <selection activeCell="A13" sqref="A13:XFD13"/>
    </sheetView>
  </sheetViews>
  <sheetFormatPr defaultColWidth="9" defaultRowHeight="15.5" x14ac:dyDescent="0.35"/>
  <cols>
    <col min="1" max="3" width="9" style="10"/>
    <col min="4" max="4" width="11.25" style="10" customWidth="1"/>
    <col min="5" max="5" width="11" style="10" bestFit="1" customWidth="1"/>
    <col min="6" max="6" width="10.75" style="10" customWidth="1"/>
    <col min="7" max="16384" width="9" style="10"/>
  </cols>
  <sheetData>
    <row r="1" spans="1:10" x14ac:dyDescent="0.35">
      <c r="J1" s="11" t="s">
        <v>0</v>
      </c>
    </row>
    <row r="2" spans="1:10" x14ac:dyDescent="0.35">
      <c r="B2" s="12" t="s">
        <v>38</v>
      </c>
      <c r="G2" s="13"/>
      <c r="H2" s="13"/>
      <c r="J2" s="14"/>
    </row>
    <row r="3" spans="1:10" x14ac:dyDescent="0.35">
      <c r="E3" s="15"/>
      <c r="J3" s="14"/>
    </row>
    <row r="4" spans="1:10" x14ac:dyDescent="0.35">
      <c r="A4" s="10">
        <v>1</v>
      </c>
      <c r="B4" s="10" t="s">
        <v>49</v>
      </c>
      <c r="E4" s="16"/>
      <c r="G4" s="10">
        <f>60+20-5-20+5-15</f>
        <v>45</v>
      </c>
      <c r="J4" s="14">
        <v>1</v>
      </c>
    </row>
    <row r="5" spans="1:10" x14ac:dyDescent="0.35">
      <c r="B5" s="15" t="s">
        <v>69</v>
      </c>
      <c r="E5" s="15"/>
      <c r="J5" s="14"/>
    </row>
    <row r="6" spans="1:10" x14ac:dyDescent="0.35">
      <c r="E6" s="15"/>
      <c r="J6" s="14"/>
    </row>
    <row r="7" spans="1:10" x14ac:dyDescent="0.35">
      <c r="B7" s="18" t="s">
        <v>51</v>
      </c>
      <c r="C7" s="19"/>
      <c r="D7" s="19"/>
      <c r="E7" s="15"/>
      <c r="J7" s="14">
        <v>2</v>
      </c>
    </row>
    <row r="8" spans="1:10" x14ac:dyDescent="0.35">
      <c r="B8" s="24" t="s">
        <v>50</v>
      </c>
      <c r="C8" s="24" t="s">
        <v>3</v>
      </c>
      <c r="D8" s="24" t="s">
        <v>9</v>
      </c>
      <c r="E8" s="15"/>
      <c r="J8" s="14"/>
    </row>
    <row r="9" spans="1:10" x14ac:dyDescent="0.35">
      <c r="B9" s="10">
        <v>5</v>
      </c>
      <c r="C9" s="10">
        <v>50</v>
      </c>
      <c r="D9" s="10">
        <f>B9*C9</f>
        <v>250</v>
      </c>
      <c r="E9" s="15"/>
      <c r="J9" s="14"/>
    </row>
    <row r="10" spans="1:10" x14ac:dyDescent="0.35">
      <c r="B10" s="10">
        <v>20</v>
      </c>
      <c r="C10" s="10">
        <v>80</v>
      </c>
      <c r="D10" s="10">
        <f t="shared" ref="D10:D11" si="0">B10*C10</f>
        <v>1600</v>
      </c>
      <c r="E10" s="15"/>
      <c r="J10" s="29"/>
    </row>
    <row r="11" spans="1:10" x14ac:dyDescent="0.35">
      <c r="B11" s="20">
        <v>20</v>
      </c>
      <c r="C11" s="10">
        <v>50</v>
      </c>
      <c r="D11" s="20">
        <f t="shared" si="0"/>
        <v>1000</v>
      </c>
      <c r="E11" s="15"/>
      <c r="J11" s="29"/>
    </row>
    <row r="12" spans="1:10" x14ac:dyDescent="0.35">
      <c r="A12" s="10" t="s">
        <v>9</v>
      </c>
      <c r="B12" s="10">
        <f>SUM(B9:B11)</f>
        <v>45</v>
      </c>
      <c r="D12" s="10">
        <f>SUM(D9:D11)</f>
        <v>2850</v>
      </c>
      <c r="E12" s="15"/>
      <c r="J12" s="29"/>
    </row>
    <row r="13" spans="1:10" x14ac:dyDescent="0.35">
      <c r="D13" s="15"/>
      <c r="J13" s="29"/>
    </row>
    <row r="14" spans="1:10" x14ac:dyDescent="0.35">
      <c r="B14" s="10" t="s">
        <v>39</v>
      </c>
      <c r="D14" s="15"/>
      <c r="E14" s="15">
        <v>2700</v>
      </c>
      <c r="J14" s="29"/>
    </row>
    <row r="15" spans="1:10" x14ac:dyDescent="0.35">
      <c r="D15" s="15"/>
      <c r="J15" s="29"/>
    </row>
    <row r="16" spans="1:10" x14ac:dyDescent="0.35">
      <c r="B16" s="10" t="s">
        <v>40</v>
      </c>
      <c r="D16" s="15"/>
      <c r="E16" s="15">
        <v>2700</v>
      </c>
      <c r="F16" s="10" t="s">
        <v>52</v>
      </c>
      <c r="J16" s="29">
        <v>1</v>
      </c>
    </row>
    <row r="17" spans="1:10" x14ac:dyDescent="0.35">
      <c r="J17" s="29"/>
    </row>
    <row r="18" spans="1:10" x14ac:dyDescent="0.35">
      <c r="J18" s="30"/>
    </row>
    <row r="19" spans="1:10" x14ac:dyDescent="0.35">
      <c r="A19" s="10">
        <v>2</v>
      </c>
      <c r="B19" s="18" t="s">
        <v>41</v>
      </c>
      <c r="C19" s="20"/>
      <c r="J19" s="29">
        <v>1</v>
      </c>
    </row>
    <row r="20" spans="1:10" x14ac:dyDescent="0.35">
      <c r="J20" s="29"/>
    </row>
    <row r="21" spans="1:10" x14ac:dyDescent="0.35">
      <c r="B21" s="10" t="s">
        <v>42</v>
      </c>
      <c r="D21" s="15">
        <f>60*50</f>
        <v>3000</v>
      </c>
      <c r="E21" s="15" t="s">
        <v>70</v>
      </c>
      <c r="J21" s="29"/>
    </row>
    <row r="22" spans="1:10" x14ac:dyDescent="0.35">
      <c r="B22" s="10" t="s">
        <v>43</v>
      </c>
      <c r="D22" s="15">
        <f>20*80+5*50</f>
        <v>1850</v>
      </c>
      <c r="G22" s="10" t="s">
        <v>44</v>
      </c>
      <c r="J22" s="29"/>
    </row>
    <row r="23" spans="1:10" x14ac:dyDescent="0.35">
      <c r="B23" s="10" t="s">
        <v>45</v>
      </c>
      <c r="D23" s="17">
        <f>-E16</f>
        <v>-2700</v>
      </c>
      <c r="J23" s="29"/>
    </row>
    <row r="24" spans="1:10" x14ac:dyDescent="0.35">
      <c r="D24" s="21">
        <f>SUM(D21:D23)</f>
        <v>2150</v>
      </c>
      <c r="J24" s="29"/>
    </row>
    <row r="25" spans="1:10" x14ac:dyDescent="0.35">
      <c r="D25" s="15"/>
      <c r="J25" s="29"/>
    </row>
    <row r="26" spans="1:10" x14ac:dyDescent="0.35">
      <c r="D26" s="15"/>
      <c r="J26" s="29"/>
    </row>
    <row r="27" spans="1:10" x14ac:dyDescent="0.35">
      <c r="D27" s="15"/>
      <c r="J27" s="29"/>
    </row>
    <row r="28" spans="1:10" x14ac:dyDescent="0.35">
      <c r="D28" s="15"/>
      <c r="J28" s="29"/>
    </row>
    <row r="29" spans="1:10" x14ac:dyDescent="0.35">
      <c r="B29" s="10" t="s">
        <v>46</v>
      </c>
      <c r="D29" s="15">
        <f>-D30/80%</f>
        <v>2687.5</v>
      </c>
      <c r="E29" s="10" t="s">
        <v>71</v>
      </c>
      <c r="J29" s="29"/>
    </row>
    <row r="30" spans="1:10" x14ac:dyDescent="0.35">
      <c r="B30" s="10" t="s">
        <v>47</v>
      </c>
      <c r="D30" s="17">
        <f>-D24</f>
        <v>-2150</v>
      </c>
      <c r="E30" s="10" t="s">
        <v>54</v>
      </c>
      <c r="J30" s="29"/>
    </row>
    <row r="31" spans="1:10" x14ac:dyDescent="0.35">
      <c r="B31" s="10" t="s">
        <v>53</v>
      </c>
      <c r="D31" s="15">
        <f>SUM(D29:D30)</f>
        <v>537.5</v>
      </c>
      <c r="E31" s="25">
        <f>D31/D29</f>
        <v>0.2</v>
      </c>
      <c r="J31" s="29">
        <v>3</v>
      </c>
    </row>
    <row r="32" spans="1:10" x14ac:dyDescent="0.35">
      <c r="D32" s="15"/>
      <c r="J32" s="29"/>
    </row>
    <row r="33" spans="1:10" x14ac:dyDescent="0.35">
      <c r="A33" s="10" t="s">
        <v>55</v>
      </c>
      <c r="D33" s="15"/>
      <c r="J33" s="29"/>
    </row>
    <row r="34" spans="1:10" x14ac:dyDescent="0.35">
      <c r="D34" s="15"/>
      <c r="J34" s="29"/>
    </row>
    <row r="35" spans="1:10" x14ac:dyDescent="0.35">
      <c r="B35" s="10" t="s">
        <v>56</v>
      </c>
      <c r="C35" s="10" t="s">
        <v>50</v>
      </c>
      <c r="D35" s="15" t="s">
        <v>57</v>
      </c>
      <c r="E35" s="10" t="s">
        <v>9</v>
      </c>
      <c r="J35" s="29"/>
    </row>
    <row r="36" spans="1:10" x14ac:dyDescent="0.35">
      <c r="B36" s="10" t="s">
        <v>72</v>
      </c>
      <c r="C36" s="10">
        <v>5</v>
      </c>
      <c r="D36" s="15">
        <v>60</v>
      </c>
      <c r="E36" s="10">
        <f>C36*D36</f>
        <v>300</v>
      </c>
      <c r="J36" s="29"/>
    </row>
    <row r="37" spans="1:10" x14ac:dyDescent="0.35">
      <c r="B37" s="10" t="s">
        <v>58</v>
      </c>
      <c r="C37" s="10">
        <v>20</v>
      </c>
      <c r="D37" s="15">
        <v>63</v>
      </c>
      <c r="E37" s="10">
        <f>C37*D37</f>
        <v>1260</v>
      </c>
      <c r="J37" s="29"/>
    </row>
    <row r="38" spans="1:10" x14ac:dyDescent="0.35">
      <c r="B38" s="10" t="s">
        <v>59</v>
      </c>
      <c r="C38" s="10">
        <v>15</v>
      </c>
      <c r="D38" s="26">
        <f>E38/C38</f>
        <v>75.166666666666671</v>
      </c>
      <c r="E38" s="15">
        <f>E39-E37-E36</f>
        <v>1127.5</v>
      </c>
      <c r="F38" s="10" t="s">
        <v>60</v>
      </c>
      <c r="J38" s="29">
        <v>2</v>
      </c>
    </row>
    <row r="39" spans="1:10" x14ac:dyDescent="0.35">
      <c r="D39" s="15"/>
      <c r="E39" s="15">
        <f>D29</f>
        <v>2687.5</v>
      </c>
      <c r="J39" s="29"/>
    </row>
    <row r="40" spans="1:10" x14ac:dyDescent="0.35">
      <c r="D40" s="26" t="s">
        <v>73</v>
      </c>
      <c r="E40" s="15"/>
      <c r="J40" s="29"/>
    </row>
    <row r="41" spans="1:10" x14ac:dyDescent="0.35">
      <c r="D41" s="15"/>
      <c r="E41" s="15"/>
      <c r="J41" s="29"/>
    </row>
    <row r="42" spans="1:10" x14ac:dyDescent="0.35">
      <c r="D42" s="15"/>
      <c r="E42" s="15"/>
      <c r="J42" s="29"/>
    </row>
    <row r="43" spans="1:10" x14ac:dyDescent="0.35">
      <c r="D43" s="15"/>
      <c r="E43" s="36" t="s">
        <v>76</v>
      </c>
      <c r="J43" s="29"/>
    </row>
    <row r="44" spans="1:10" x14ac:dyDescent="0.35">
      <c r="A44" s="10">
        <v>3</v>
      </c>
      <c r="B44" s="10" t="s">
        <v>61</v>
      </c>
      <c r="D44" s="15"/>
      <c r="E44" s="28">
        <f>45*F44</f>
        <v>2567.6470588235297</v>
      </c>
      <c r="F44" s="27">
        <f>G44/G45</f>
        <v>57.058823529411768</v>
      </c>
      <c r="G44" s="20">
        <f>60*50+20*80+5*50</f>
        <v>4850</v>
      </c>
      <c r="H44" s="35"/>
      <c r="I44" s="20" t="s">
        <v>74</v>
      </c>
      <c r="J44" s="29">
        <v>2</v>
      </c>
    </row>
    <row r="45" spans="1:10" x14ac:dyDescent="0.35">
      <c r="D45" s="15"/>
      <c r="G45" s="10">
        <f>60+20+5</f>
        <v>85</v>
      </c>
      <c r="I45" s="10" t="s">
        <v>75</v>
      </c>
      <c r="J45" s="29"/>
    </row>
    <row r="46" spans="1:10" x14ac:dyDescent="0.35">
      <c r="B46" s="10" t="s">
        <v>39</v>
      </c>
      <c r="D46" s="15"/>
      <c r="E46" s="15">
        <v>2700</v>
      </c>
      <c r="J46" s="29">
        <v>1</v>
      </c>
    </row>
    <row r="47" spans="1:10" x14ac:dyDescent="0.35">
      <c r="D47" s="15"/>
      <c r="J47" s="29"/>
    </row>
    <row r="48" spans="1:10" x14ac:dyDescent="0.35">
      <c r="B48" s="10" t="s">
        <v>40</v>
      </c>
      <c r="D48" s="15"/>
      <c r="E48" s="13">
        <f>E44</f>
        <v>2567.6470588235297</v>
      </c>
      <c r="F48" s="10" t="s">
        <v>52</v>
      </c>
      <c r="J48" s="29">
        <v>1</v>
      </c>
    </row>
    <row r="49" spans="1:10" x14ac:dyDescent="0.35">
      <c r="D49" s="15"/>
      <c r="J49" s="29"/>
    </row>
    <row r="50" spans="1:10" x14ac:dyDescent="0.35">
      <c r="D50" s="15"/>
      <c r="J50" s="29"/>
    </row>
    <row r="51" spans="1:10" x14ac:dyDescent="0.35">
      <c r="A51" s="10">
        <v>4</v>
      </c>
      <c r="B51" s="10" t="s">
        <v>62</v>
      </c>
      <c r="J51" s="29"/>
    </row>
    <row r="52" spans="1:10" x14ac:dyDescent="0.35">
      <c r="B52" s="10" t="s">
        <v>63</v>
      </c>
      <c r="J52" s="29">
        <v>3</v>
      </c>
    </row>
    <row r="53" spans="1:10" x14ac:dyDescent="0.35">
      <c r="J53" s="22"/>
    </row>
    <row r="54" spans="1:10" x14ac:dyDescent="0.35">
      <c r="J54" s="22"/>
    </row>
    <row r="55" spans="1:10" x14ac:dyDescent="0.35">
      <c r="J55" s="22"/>
    </row>
    <row r="56" spans="1:10" x14ac:dyDescent="0.35">
      <c r="A56" s="12" t="s">
        <v>48</v>
      </c>
      <c r="J56" s="23"/>
    </row>
    <row r="57" spans="1:10" x14ac:dyDescent="0.35">
      <c r="A57" s="10" t="s">
        <v>64</v>
      </c>
      <c r="J57" s="23"/>
    </row>
    <row r="58" spans="1:10" x14ac:dyDescent="0.35">
      <c r="A58" s="10" t="s">
        <v>65</v>
      </c>
      <c r="J58" s="23"/>
    </row>
    <row r="59" spans="1:10" x14ac:dyDescent="0.35">
      <c r="A59" s="10" t="s">
        <v>66</v>
      </c>
      <c r="J59" s="23"/>
    </row>
    <row r="60" spans="1:10" x14ac:dyDescent="0.35">
      <c r="A60" s="10" t="s">
        <v>77</v>
      </c>
      <c r="J60" s="23">
        <v>4</v>
      </c>
    </row>
    <row r="61" spans="1:10" x14ac:dyDescent="0.35">
      <c r="J61" s="22"/>
    </row>
    <row r="62" spans="1:10" x14ac:dyDescent="0.35">
      <c r="J62" s="34"/>
    </row>
    <row r="63" spans="1:10" x14ac:dyDescent="0.35">
      <c r="I63" s="22" t="s">
        <v>9</v>
      </c>
      <c r="J63" s="33">
        <f>SUM(J4:J61)</f>
        <v>21</v>
      </c>
    </row>
  </sheetData>
  <pageMargins left="0.7" right="0.7" top="0.75" bottom="0.75" header="0.3" footer="0.3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9"/>
  <sheetViews>
    <sheetView rightToLeft="1" topLeftCell="A30" zoomScaleNormal="100" workbookViewId="0">
      <selection activeCell="F49" sqref="F49"/>
    </sheetView>
  </sheetViews>
  <sheetFormatPr defaultColWidth="9" defaultRowHeight="15.5" x14ac:dyDescent="0.35"/>
  <cols>
    <col min="1" max="1" width="9" style="1"/>
    <col min="2" max="2" width="21.83203125" style="1" customWidth="1"/>
    <col min="3" max="3" width="12.83203125" style="1" customWidth="1"/>
    <col min="4" max="4" width="26.25" style="1" customWidth="1"/>
    <col min="5" max="5" width="9.25" style="1" bestFit="1" customWidth="1"/>
    <col min="6" max="6" width="9" style="1"/>
    <col min="7" max="7" width="16.33203125" style="1" customWidth="1"/>
    <col min="8" max="16384" width="9" style="1"/>
  </cols>
  <sheetData>
    <row r="1" spans="1:8" x14ac:dyDescent="0.35">
      <c r="H1" s="2"/>
    </row>
    <row r="2" spans="1:8" x14ac:dyDescent="0.35">
      <c r="H2" s="2" t="s">
        <v>0</v>
      </c>
    </row>
    <row r="3" spans="1:8" x14ac:dyDescent="0.35">
      <c r="H3" s="2"/>
    </row>
    <row r="4" spans="1:8" ht="18.5" x14ac:dyDescent="0.65">
      <c r="A4" s="1">
        <v>1</v>
      </c>
      <c r="B4" s="3" t="s">
        <v>12</v>
      </c>
      <c r="H4" s="2"/>
    </row>
    <row r="5" spans="1:8" ht="18.5" x14ac:dyDescent="0.65">
      <c r="C5" s="3" t="s">
        <v>78</v>
      </c>
      <c r="H5" s="2"/>
    </row>
    <row r="6" spans="1:8" x14ac:dyDescent="0.35">
      <c r="B6" s="4" t="s">
        <v>13</v>
      </c>
      <c r="C6" s="4">
        <v>65000</v>
      </c>
      <c r="H6" s="2"/>
    </row>
    <row r="7" spans="1:8" ht="18.5" x14ac:dyDescent="0.65">
      <c r="B7" s="1" t="s">
        <v>1</v>
      </c>
      <c r="C7" s="5">
        <f>-C12</f>
        <v>-10000</v>
      </c>
      <c r="H7" s="2"/>
    </row>
    <row r="8" spans="1:8" x14ac:dyDescent="0.35">
      <c r="B8" s="1" t="s">
        <v>2</v>
      </c>
      <c r="C8" s="1">
        <f>C6+C7</f>
        <v>55000</v>
      </c>
      <c r="H8" s="2">
        <v>2</v>
      </c>
    </row>
    <row r="9" spans="1:8" x14ac:dyDescent="0.35">
      <c r="H9" s="2"/>
    </row>
    <row r="10" spans="1:8" x14ac:dyDescent="0.35">
      <c r="B10" s="1" t="s">
        <v>3</v>
      </c>
      <c r="C10" s="1">
        <v>200000</v>
      </c>
      <c r="D10" s="1" t="s">
        <v>14</v>
      </c>
      <c r="H10" s="2"/>
    </row>
    <row r="11" spans="1:8" ht="18.5" x14ac:dyDescent="0.65">
      <c r="B11" s="1" t="s">
        <v>4</v>
      </c>
      <c r="C11" s="5">
        <f>-200000+10000</f>
        <v>-190000</v>
      </c>
      <c r="D11" s="1" t="s">
        <v>15</v>
      </c>
      <c r="H11" s="2">
        <v>1</v>
      </c>
    </row>
    <row r="12" spans="1:8" x14ac:dyDescent="0.35">
      <c r="B12" s="1" t="s">
        <v>1</v>
      </c>
      <c r="C12" s="1">
        <f>SUM(C10:C11)</f>
        <v>10000</v>
      </c>
      <c r="H12" s="2"/>
    </row>
    <row r="13" spans="1:8" x14ac:dyDescent="0.35">
      <c r="H13" s="2"/>
    </row>
    <row r="14" spans="1:8" x14ac:dyDescent="0.35">
      <c r="B14" s="1" t="s">
        <v>5</v>
      </c>
      <c r="C14" s="1">
        <v>65000</v>
      </c>
      <c r="H14" s="2"/>
    </row>
    <row r="15" spans="1:8" x14ac:dyDescent="0.35">
      <c r="B15" s="1" t="s">
        <v>6</v>
      </c>
      <c r="C15" s="1">
        <f>190000</f>
        <v>190000</v>
      </c>
      <c r="H15" s="2"/>
    </row>
    <row r="16" spans="1:8" x14ac:dyDescent="0.35">
      <c r="B16" s="1" t="s">
        <v>16</v>
      </c>
      <c r="C16" s="1">
        <v>200000</v>
      </c>
      <c r="H16" s="2"/>
    </row>
    <row r="17" spans="1:8" x14ac:dyDescent="0.35">
      <c r="B17" s="1" t="s">
        <v>7</v>
      </c>
      <c r="C17" s="1">
        <f>C14+C15-C16</f>
        <v>55000</v>
      </c>
      <c r="H17" s="2">
        <v>2</v>
      </c>
    </row>
    <row r="18" spans="1:8" x14ac:dyDescent="0.35">
      <c r="H18" s="2"/>
    </row>
    <row r="19" spans="1:8" ht="18.5" x14ac:dyDescent="0.65">
      <c r="A19" s="1">
        <v>2</v>
      </c>
      <c r="B19" s="3" t="s">
        <v>17</v>
      </c>
      <c r="H19" s="2"/>
    </row>
    <row r="20" spans="1:8" x14ac:dyDescent="0.35">
      <c r="H20" s="2"/>
    </row>
    <row r="21" spans="1:8" x14ac:dyDescent="0.35">
      <c r="D21" s="1" t="s">
        <v>18</v>
      </c>
      <c r="H21" s="2"/>
    </row>
    <row r="22" spans="1:8" x14ac:dyDescent="0.35">
      <c r="D22" s="4" t="s">
        <v>19</v>
      </c>
      <c r="H22" s="2">
        <v>3</v>
      </c>
    </row>
    <row r="23" spans="1:8" x14ac:dyDescent="0.35">
      <c r="D23" s="4"/>
      <c r="H23" s="2"/>
    </row>
    <row r="24" spans="1:8" ht="18.5" x14ac:dyDescent="0.65">
      <c r="A24" s="1">
        <v>3</v>
      </c>
      <c r="B24" s="3" t="s">
        <v>20</v>
      </c>
      <c r="H24" s="2"/>
    </row>
    <row r="25" spans="1:8" x14ac:dyDescent="0.35">
      <c r="F25" s="38" t="s">
        <v>79</v>
      </c>
      <c r="H25" s="2"/>
    </row>
    <row r="26" spans="1:8" x14ac:dyDescent="0.35">
      <c r="B26" s="1" t="s">
        <v>21</v>
      </c>
      <c r="C26" s="1">
        <f>+(200000-10000)*1/15*6/12</f>
        <v>6333.333333333333</v>
      </c>
      <c r="D26" s="1" t="s">
        <v>22</v>
      </c>
      <c r="F26" s="1" t="s">
        <v>30</v>
      </c>
      <c r="H26" s="2">
        <v>2</v>
      </c>
    </row>
    <row r="27" spans="1:8" x14ac:dyDescent="0.35">
      <c r="B27" s="1" t="s">
        <v>11</v>
      </c>
      <c r="C27" s="1">
        <v>0</v>
      </c>
      <c r="D27" s="1" t="s">
        <v>23</v>
      </c>
      <c r="F27" s="39" t="s">
        <v>80</v>
      </c>
      <c r="H27" s="2">
        <v>1</v>
      </c>
    </row>
    <row r="28" spans="1:8" x14ac:dyDescent="0.35">
      <c r="B28" s="1" t="s">
        <v>24</v>
      </c>
      <c r="C28" s="1">
        <f>100000/6</f>
        <v>16666.666666666668</v>
      </c>
      <c r="D28" s="1" t="s">
        <v>25</v>
      </c>
      <c r="F28" s="1" t="s">
        <v>31</v>
      </c>
      <c r="H28" s="2">
        <v>2</v>
      </c>
    </row>
    <row r="29" spans="1:8" x14ac:dyDescent="0.35">
      <c r="B29" s="1" t="s">
        <v>26</v>
      </c>
      <c r="C29" s="1">
        <f>(65000-5000)/6*6/12</f>
        <v>5000</v>
      </c>
      <c r="D29" s="1" t="s">
        <v>27</v>
      </c>
      <c r="F29" s="1" t="s">
        <v>31</v>
      </c>
      <c r="H29" s="2">
        <v>2</v>
      </c>
    </row>
    <row r="30" spans="1:8" ht="18.5" x14ac:dyDescent="0.65">
      <c r="B30" s="1" t="s">
        <v>28</v>
      </c>
      <c r="C30" s="5">
        <f>(4000000+200000+40000)*75%*4%*5/12</f>
        <v>53000</v>
      </c>
      <c r="E30" s="1" t="s">
        <v>29</v>
      </c>
      <c r="F30" s="1" t="s">
        <v>30</v>
      </c>
      <c r="H30" s="2">
        <v>2</v>
      </c>
    </row>
    <row r="31" spans="1:8" x14ac:dyDescent="0.35">
      <c r="C31" s="1">
        <f>SUM(C26:C30)</f>
        <v>81000</v>
      </c>
      <c r="H31" s="2"/>
    </row>
    <row r="32" spans="1:8" ht="18.5" x14ac:dyDescent="0.65">
      <c r="C32" s="5"/>
      <c r="H32" s="2"/>
    </row>
    <row r="33" spans="1:8" x14ac:dyDescent="0.35">
      <c r="C33" s="4"/>
      <c r="H33" s="2"/>
    </row>
    <row r="34" spans="1:8" x14ac:dyDescent="0.35">
      <c r="H34" s="2"/>
    </row>
    <row r="35" spans="1:8" x14ac:dyDescent="0.35">
      <c r="H35" s="2"/>
    </row>
    <row r="36" spans="1:8" ht="18.5" x14ac:dyDescent="0.65">
      <c r="A36" s="1">
        <v>4</v>
      </c>
      <c r="B36" s="3" t="s">
        <v>32</v>
      </c>
      <c r="H36" s="2"/>
    </row>
    <row r="37" spans="1:8" x14ac:dyDescent="0.35">
      <c r="H37" s="2"/>
    </row>
    <row r="38" spans="1:8" x14ac:dyDescent="0.35">
      <c r="C38" s="6" t="s">
        <v>11</v>
      </c>
      <c r="D38" s="6" t="s">
        <v>8</v>
      </c>
      <c r="E38" s="6" t="s">
        <v>28</v>
      </c>
      <c r="F38" s="6"/>
      <c r="G38" s="6" t="s">
        <v>9</v>
      </c>
      <c r="H38" s="2"/>
    </row>
    <row r="39" spans="1:8" x14ac:dyDescent="0.35">
      <c r="B39" s="6" t="s">
        <v>3</v>
      </c>
      <c r="C39" s="7">
        <v>320000</v>
      </c>
      <c r="D39" s="7">
        <f>100000+65000</f>
        <v>165000</v>
      </c>
      <c r="E39" s="7">
        <f>4000000+200000+40000</f>
        <v>4240000</v>
      </c>
      <c r="F39" s="7"/>
      <c r="G39" s="7">
        <f>SUM(C39:F39)</f>
        <v>4725000</v>
      </c>
      <c r="H39" s="2">
        <v>2</v>
      </c>
    </row>
    <row r="40" spans="1:8" ht="18.5" x14ac:dyDescent="0.65">
      <c r="B40" s="6" t="s">
        <v>4</v>
      </c>
      <c r="C40" s="8">
        <v>-300000</v>
      </c>
      <c r="D40" s="8">
        <f>(75000+C28+C29)*-1</f>
        <v>-96666.666666666672</v>
      </c>
      <c r="E40" s="8">
        <f>-C30</f>
        <v>-53000</v>
      </c>
      <c r="F40" s="8"/>
      <c r="G40" s="8">
        <f t="shared" ref="G40:G41" si="0">SUM(C40:F40)</f>
        <v>-449666.66666666669</v>
      </c>
      <c r="H40" s="2">
        <v>1</v>
      </c>
    </row>
    <row r="41" spans="1:8" x14ac:dyDescent="0.35">
      <c r="B41" s="6" t="s">
        <v>1</v>
      </c>
      <c r="C41" s="7">
        <f t="shared" ref="C41:E41" si="1">SUM(C39:C40)</f>
        <v>20000</v>
      </c>
      <c r="D41" s="7">
        <f t="shared" si="1"/>
        <v>68333.333333333328</v>
      </c>
      <c r="E41" s="7">
        <f t="shared" si="1"/>
        <v>4187000</v>
      </c>
      <c r="F41" s="7"/>
      <c r="G41" s="7">
        <f t="shared" si="0"/>
        <v>4275333.333333333</v>
      </c>
      <c r="H41" s="2">
        <v>1</v>
      </c>
    </row>
    <row r="42" spans="1:8" x14ac:dyDescent="0.35">
      <c r="H42" s="2"/>
    </row>
    <row r="43" spans="1:8" x14ac:dyDescent="0.35">
      <c r="H43" s="2"/>
    </row>
    <row r="44" spans="1:8" ht="18.5" x14ac:dyDescent="0.65">
      <c r="B44" s="5" t="s">
        <v>11</v>
      </c>
      <c r="H44" s="2"/>
    </row>
    <row r="45" spans="1:8" x14ac:dyDescent="0.35">
      <c r="B45" s="1" t="s">
        <v>10</v>
      </c>
      <c r="C45" s="1">
        <f>300000+20000</f>
        <v>320000</v>
      </c>
      <c r="D45" s="1" t="s">
        <v>33</v>
      </c>
      <c r="H45" s="2"/>
    </row>
    <row r="46" spans="1:8" x14ac:dyDescent="0.35">
      <c r="B46" s="1" t="s">
        <v>4</v>
      </c>
      <c r="C46" s="1">
        <v>300000</v>
      </c>
      <c r="D46" s="1" t="s">
        <v>34</v>
      </c>
      <c r="H46" s="2">
        <v>1</v>
      </c>
    </row>
    <row r="47" spans="1:8" x14ac:dyDescent="0.35">
      <c r="H47" s="2"/>
    </row>
    <row r="48" spans="1:8" ht="18.5" x14ac:dyDescent="0.65">
      <c r="B48" s="5" t="s">
        <v>8</v>
      </c>
      <c r="H48" s="2"/>
    </row>
    <row r="49" spans="2:8" x14ac:dyDescent="0.35">
      <c r="B49" s="1" t="s">
        <v>10</v>
      </c>
      <c r="C49" s="1">
        <f>100000+65000</f>
        <v>165000</v>
      </c>
      <c r="D49" s="1" t="s">
        <v>35</v>
      </c>
      <c r="H49" s="2"/>
    </row>
    <row r="50" spans="2:8" x14ac:dyDescent="0.35">
      <c r="B50" s="1" t="s">
        <v>4</v>
      </c>
      <c r="C50" s="1">
        <f>75000+16667+5000</f>
        <v>96667</v>
      </c>
      <c r="D50" s="1" t="s">
        <v>36</v>
      </c>
      <c r="H50" s="2">
        <v>1</v>
      </c>
    </row>
    <row r="51" spans="2:8" x14ac:dyDescent="0.35">
      <c r="H51" s="2"/>
    </row>
    <row r="52" spans="2:8" ht="18.5" x14ac:dyDescent="0.65">
      <c r="B52" s="5" t="s">
        <v>28</v>
      </c>
      <c r="H52" s="2"/>
    </row>
    <row r="53" spans="2:8" x14ac:dyDescent="0.35">
      <c r="B53" s="1" t="s">
        <v>10</v>
      </c>
      <c r="C53" s="1">
        <f>4000000+200000+40000</f>
        <v>4240000</v>
      </c>
      <c r="D53" s="1" t="s">
        <v>37</v>
      </c>
      <c r="H53" s="2">
        <v>1</v>
      </c>
    </row>
    <row r="54" spans="2:8" x14ac:dyDescent="0.35">
      <c r="B54" s="1" t="s">
        <v>4</v>
      </c>
      <c r="C54" s="9">
        <f>(4000000+200000+40000)*75%*4%*5/12</f>
        <v>53000</v>
      </c>
      <c r="E54" s="9" t="s">
        <v>29</v>
      </c>
      <c r="H54" s="40"/>
    </row>
    <row r="55" spans="2:8" x14ac:dyDescent="0.35">
      <c r="H55" s="40"/>
    </row>
    <row r="56" spans="2:8" x14ac:dyDescent="0.35">
      <c r="H56" s="40"/>
    </row>
    <row r="57" spans="2:8" x14ac:dyDescent="0.35">
      <c r="B57" s="37" t="s">
        <v>88</v>
      </c>
      <c r="H57" s="40">
        <v>3</v>
      </c>
    </row>
    <row r="58" spans="2:8" x14ac:dyDescent="0.35">
      <c r="B58" s="37" t="s">
        <v>89</v>
      </c>
      <c r="H58" s="40"/>
    </row>
    <row r="59" spans="2:8" x14ac:dyDescent="0.35">
      <c r="G59" s="1" t="s">
        <v>9</v>
      </c>
      <c r="H59" s="40">
        <f>SUM(H6:H57)</f>
        <v>27</v>
      </c>
    </row>
  </sheetData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rightToLeft="1" tabSelected="1" topLeftCell="B14" zoomScaleNormal="100" workbookViewId="0">
      <selection activeCell="I19" sqref="I19"/>
    </sheetView>
  </sheetViews>
  <sheetFormatPr defaultColWidth="9" defaultRowHeight="15.5" x14ac:dyDescent="0.35"/>
  <cols>
    <col min="1" max="1" width="17.58203125" style="10" customWidth="1"/>
    <col min="2" max="2" width="13" style="10" customWidth="1"/>
    <col min="3" max="3" width="10" style="10" bestFit="1" customWidth="1"/>
    <col min="4" max="4" width="14.25" style="10" customWidth="1"/>
    <col min="5" max="5" width="12.33203125" style="10" customWidth="1"/>
    <col min="6" max="6" width="9.08203125" style="10" customWidth="1"/>
    <col min="7" max="7" width="14.4140625" style="10" customWidth="1"/>
    <col min="8" max="10" width="9" style="10"/>
    <col min="11" max="11" width="9" style="93"/>
    <col min="12" max="16384" width="9" style="10"/>
  </cols>
  <sheetData>
    <row r="1" spans="1:11" x14ac:dyDescent="0.35">
      <c r="K1" s="46" t="s">
        <v>0</v>
      </c>
    </row>
    <row r="2" spans="1:11" x14ac:dyDescent="0.35">
      <c r="E2" s="60" t="s">
        <v>188</v>
      </c>
      <c r="G2" s="61"/>
      <c r="K2" s="23"/>
    </row>
    <row r="3" spans="1:11" x14ac:dyDescent="0.35">
      <c r="A3" s="62"/>
      <c r="B3" s="62"/>
      <c r="C3" s="62"/>
      <c r="D3" s="62"/>
      <c r="E3" s="62"/>
      <c r="F3" s="62"/>
      <c r="G3" s="61"/>
      <c r="H3" s="62"/>
      <c r="I3" s="62"/>
      <c r="J3" s="62"/>
      <c r="K3" s="63"/>
    </row>
    <row r="4" spans="1:11" ht="16" thickBot="1" x14ac:dyDescent="0.4">
      <c r="B4" s="99" t="s">
        <v>189</v>
      </c>
      <c r="C4" s="99"/>
      <c r="E4" s="99" t="s">
        <v>152</v>
      </c>
      <c r="F4" s="99"/>
      <c r="H4" s="64"/>
      <c r="I4" s="65" t="s">
        <v>190</v>
      </c>
      <c r="J4" s="65"/>
      <c r="K4" s="23"/>
    </row>
    <row r="5" spans="1:11" x14ac:dyDescent="0.35">
      <c r="A5" s="61" t="s">
        <v>191</v>
      </c>
      <c r="B5" s="66">
        <v>0</v>
      </c>
      <c r="C5" s="61"/>
      <c r="E5" s="67"/>
      <c r="F5" s="68">
        <v>0</v>
      </c>
      <c r="G5" s="61" t="s">
        <v>191</v>
      </c>
      <c r="H5" s="69"/>
      <c r="I5" s="70"/>
      <c r="J5" s="61"/>
      <c r="K5" s="23"/>
    </row>
    <row r="6" spans="1:11" x14ac:dyDescent="0.35">
      <c r="A6" s="61" t="s">
        <v>192</v>
      </c>
      <c r="B6" s="71">
        <v>400000</v>
      </c>
      <c r="C6" s="61"/>
      <c r="E6" s="71"/>
      <c r="F6" s="68"/>
      <c r="H6" s="96">
        <v>8000</v>
      </c>
      <c r="I6" s="35"/>
      <c r="J6" s="70"/>
      <c r="K6" s="23"/>
    </row>
    <row r="7" spans="1:11" x14ac:dyDescent="0.35">
      <c r="A7" s="61"/>
      <c r="B7" s="72"/>
      <c r="C7" s="73">
        <v>272000</v>
      </c>
      <c r="D7" s="74" t="s">
        <v>193</v>
      </c>
      <c r="E7" s="68"/>
      <c r="F7" s="15">
        <f>H6</f>
        <v>8000</v>
      </c>
      <c r="G7" s="75"/>
      <c r="H7" s="97">
        <v>8000</v>
      </c>
      <c r="I7" s="35"/>
      <c r="J7" s="70"/>
      <c r="K7" s="23"/>
    </row>
    <row r="8" spans="1:11" x14ac:dyDescent="0.35">
      <c r="A8" s="61"/>
      <c r="B8" s="72"/>
      <c r="C8" s="68"/>
      <c r="D8" s="77" t="s">
        <v>194</v>
      </c>
      <c r="E8" s="71"/>
      <c r="F8" s="68"/>
      <c r="H8" s="78"/>
      <c r="I8" s="35"/>
      <c r="J8" s="35"/>
      <c r="K8" s="23">
        <v>6</v>
      </c>
    </row>
    <row r="9" spans="1:11" ht="16" thickBot="1" x14ac:dyDescent="0.4">
      <c r="A9" s="61"/>
      <c r="B9" s="79"/>
      <c r="C9" s="68">
        <v>3000</v>
      </c>
      <c r="D9" s="80" t="s">
        <v>195</v>
      </c>
      <c r="E9" s="68">
        <f>C9</f>
        <v>3000</v>
      </c>
      <c r="F9" s="81"/>
      <c r="H9" s="72"/>
      <c r="K9" s="23"/>
    </row>
    <row r="10" spans="1:11" x14ac:dyDescent="0.35">
      <c r="A10" s="61" t="s">
        <v>196</v>
      </c>
      <c r="B10" s="66">
        <f>F10/0.04</f>
        <v>125000</v>
      </c>
      <c r="C10" s="61"/>
      <c r="E10" s="71"/>
      <c r="F10" s="68">
        <f>F7-E9</f>
        <v>5000</v>
      </c>
      <c r="G10" s="61" t="s">
        <v>197</v>
      </c>
      <c r="H10" s="76"/>
      <c r="K10" s="23"/>
    </row>
    <row r="11" spans="1:11" x14ac:dyDescent="0.35">
      <c r="A11" s="62"/>
      <c r="B11" s="62"/>
      <c r="C11" s="62"/>
      <c r="D11" s="62"/>
      <c r="E11" s="68"/>
      <c r="F11" s="68"/>
      <c r="G11" s="61"/>
      <c r="H11" s="62"/>
      <c r="I11" s="62"/>
      <c r="J11" s="62"/>
      <c r="K11" s="63"/>
    </row>
    <row r="12" spans="1:11" x14ac:dyDescent="0.35">
      <c r="E12" s="60" t="s">
        <v>198</v>
      </c>
      <c r="G12" s="61"/>
      <c r="K12" s="63"/>
    </row>
    <row r="13" spans="1:11" x14ac:dyDescent="0.35">
      <c r="A13" s="62"/>
      <c r="B13" s="62"/>
      <c r="C13" s="62"/>
      <c r="D13" s="62"/>
      <c r="E13" s="62"/>
      <c r="F13" s="62"/>
      <c r="G13" s="61"/>
      <c r="H13" s="62"/>
      <c r="I13" s="62"/>
      <c r="J13" s="62"/>
      <c r="K13" s="63"/>
    </row>
    <row r="14" spans="1:11" ht="16" thickBot="1" x14ac:dyDescent="0.4">
      <c r="B14" s="99" t="s">
        <v>189</v>
      </c>
      <c r="C14" s="99"/>
      <c r="E14" s="99" t="s">
        <v>152</v>
      </c>
      <c r="F14" s="99"/>
      <c r="H14" s="64"/>
      <c r="I14" s="65" t="s">
        <v>190</v>
      </c>
      <c r="J14" s="65"/>
      <c r="K14" s="63"/>
    </row>
    <row r="15" spans="1:11" x14ac:dyDescent="0.35">
      <c r="A15" s="61" t="s">
        <v>199</v>
      </c>
      <c r="B15" s="66">
        <v>125000</v>
      </c>
      <c r="C15" s="61"/>
      <c r="E15" s="82"/>
      <c r="F15" s="83">
        <v>5000</v>
      </c>
      <c r="G15" s="61" t="s">
        <v>199</v>
      </c>
      <c r="H15" s="69"/>
      <c r="I15" s="70"/>
      <c r="J15" s="61"/>
      <c r="K15" s="63"/>
    </row>
    <row r="16" spans="1:11" x14ac:dyDescent="0.35">
      <c r="A16" s="74" t="s">
        <v>200</v>
      </c>
      <c r="B16" s="84">
        <f>B19-B15+C17</f>
        <v>465000</v>
      </c>
      <c r="C16" s="61"/>
      <c r="E16" s="80"/>
      <c r="F16" s="85"/>
      <c r="H16" s="96">
        <v>12000</v>
      </c>
      <c r="I16" s="35"/>
      <c r="J16" s="70"/>
      <c r="K16" s="63"/>
    </row>
    <row r="17" spans="1:11" x14ac:dyDescent="0.35">
      <c r="A17" s="77" t="s">
        <v>201</v>
      </c>
      <c r="B17" s="72"/>
      <c r="C17" s="86">
        <v>165000</v>
      </c>
      <c r="D17" s="87" t="s">
        <v>202</v>
      </c>
      <c r="E17" s="68"/>
      <c r="F17" s="31">
        <f>H16</f>
        <v>12000</v>
      </c>
      <c r="G17" s="75"/>
      <c r="H17" s="97">
        <v>12000</v>
      </c>
      <c r="I17" s="35"/>
      <c r="J17" s="70"/>
      <c r="K17" s="63"/>
    </row>
    <row r="18" spans="1:11" ht="16" thickBot="1" x14ac:dyDescent="0.4">
      <c r="A18" s="61"/>
      <c r="B18" s="79"/>
      <c r="C18" s="68"/>
      <c r="D18" s="80"/>
      <c r="E18" s="68"/>
      <c r="F18" s="81"/>
      <c r="H18" s="72"/>
      <c r="K18" s="63"/>
    </row>
    <row r="19" spans="1:11" x14ac:dyDescent="0.35">
      <c r="A19" s="61" t="s">
        <v>203</v>
      </c>
      <c r="B19" s="66">
        <f>F19/0.04</f>
        <v>425000</v>
      </c>
      <c r="C19" s="61"/>
      <c r="E19" s="80"/>
      <c r="F19" s="85">
        <f>F15+F17</f>
        <v>17000</v>
      </c>
      <c r="G19" s="61" t="s">
        <v>204</v>
      </c>
      <c r="H19" s="76"/>
      <c r="K19" s="63">
        <v>6</v>
      </c>
    </row>
    <row r="20" spans="1:11" x14ac:dyDescent="0.35">
      <c r="A20" s="62"/>
      <c r="B20" s="62"/>
      <c r="C20" s="62"/>
      <c r="D20" s="62"/>
      <c r="E20" s="68"/>
      <c r="F20" s="68"/>
      <c r="G20" s="61"/>
      <c r="H20" s="62"/>
      <c r="I20" s="62"/>
      <c r="J20" s="62"/>
      <c r="K20" s="63"/>
    </row>
    <row r="21" spans="1:11" x14ac:dyDescent="0.35">
      <c r="A21" s="12" t="s">
        <v>205</v>
      </c>
      <c r="E21" s="61"/>
      <c r="F21" s="61"/>
      <c r="K21" s="23"/>
    </row>
    <row r="22" spans="1:11" x14ac:dyDescent="0.35">
      <c r="A22" s="88" t="s">
        <v>206</v>
      </c>
      <c r="B22" s="15">
        <f>H16</f>
        <v>12000</v>
      </c>
      <c r="E22" s="61"/>
      <c r="F22" s="61"/>
      <c r="K22" s="23"/>
    </row>
    <row r="23" spans="1:11" x14ac:dyDescent="0.35">
      <c r="A23" s="10" t="s">
        <v>207</v>
      </c>
      <c r="B23" s="15">
        <f>B22</f>
        <v>12000</v>
      </c>
      <c r="E23" s="61"/>
      <c r="F23" s="61"/>
      <c r="K23" s="23"/>
    </row>
    <row r="24" spans="1:11" x14ac:dyDescent="0.35">
      <c r="B24" s="15"/>
      <c r="E24" s="61"/>
      <c r="F24" s="61"/>
      <c r="K24" s="23">
        <v>2</v>
      </c>
    </row>
    <row r="25" spans="1:11" x14ac:dyDescent="0.35">
      <c r="B25" s="89" t="s">
        <v>208</v>
      </c>
      <c r="K25" s="23"/>
    </row>
    <row r="26" spans="1:11" x14ac:dyDescent="0.35">
      <c r="A26" s="10" t="s">
        <v>151</v>
      </c>
      <c r="B26" s="90">
        <f>B19</f>
        <v>425000</v>
      </c>
      <c r="K26" s="23">
        <v>3</v>
      </c>
    </row>
    <row r="27" spans="1:11" x14ac:dyDescent="0.35">
      <c r="A27" s="24" t="s">
        <v>152</v>
      </c>
      <c r="B27" s="91">
        <f>-F19</f>
        <v>-17000</v>
      </c>
      <c r="K27" s="23"/>
    </row>
    <row r="28" spans="1:11" x14ac:dyDescent="0.35">
      <c r="A28" s="88" t="s">
        <v>209</v>
      </c>
      <c r="B28" s="90">
        <f>SUM(B26:B27)</f>
        <v>408000</v>
      </c>
      <c r="K28" s="23"/>
    </row>
    <row r="29" spans="1:11" x14ac:dyDescent="0.35">
      <c r="B29" s="35"/>
      <c r="K29" s="23"/>
    </row>
    <row r="30" spans="1:11" x14ac:dyDescent="0.35">
      <c r="K30" s="23"/>
    </row>
    <row r="31" spans="1:11" x14ac:dyDescent="0.35">
      <c r="J31" s="92" t="s">
        <v>210</v>
      </c>
      <c r="K31" s="23">
        <f>SUM(K2:K28)</f>
        <v>17</v>
      </c>
    </row>
    <row r="32" spans="1:11" x14ac:dyDescent="0.35">
      <c r="K32" s="23"/>
    </row>
    <row r="33" spans="11:11" x14ac:dyDescent="0.35">
      <c r="K33" s="23"/>
    </row>
  </sheetData>
  <mergeCells count="4">
    <mergeCell ref="B4:C4"/>
    <mergeCell ref="E4:F4"/>
    <mergeCell ref="B14:C14"/>
    <mergeCell ref="E14:F14"/>
  </mergeCells>
  <pageMargins left="0.7" right="0.7" top="0.75" bottom="0.75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6"/>
  <sheetViews>
    <sheetView rightToLeft="1" zoomScaleNormal="100" workbookViewId="0">
      <selection activeCell="F10" sqref="F10"/>
    </sheetView>
  </sheetViews>
  <sheetFormatPr defaultRowHeight="14" x14ac:dyDescent="0.3"/>
  <sheetData>
    <row r="2" spans="1:9" x14ac:dyDescent="0.3">
      <c r="A2">
        <v>1</v>
      </c>
      <c r="B2" t="s">
        <v>87</v>
      </c>
      <c r="I2" s="41" t="s">
        <v>0</v>
      </c>
    </row>
    <row r="3" spans="1:9" x14ac:dyDescent="0.3">
      <c r="B3" t="s">
        <v>85</v>
      </c>
      <c r="I3" s="41"/>
    </row>
    <row r="4" spans="1:9" x14ac:dyDescent="0.3">
      <c r="B4" t="s">
        <v>81</v>
      </c>
      <c r="I4" s="41"/>
    </row>
    <row r="5" spans="1:9" x14ac:dyDescent="0.3">
      <c r="B5" t="s">
        <v>82</v>
      </c>
      <c r="I5" s="42"/>
    </row>
    <row r="6" spans="1:9" x14ac:dyDescent="0.3">
      <c r="B6" t="s">
        <v>86</v>
      </c>
      <c r="I6" s="42">
        <v>4</v>
      </c>
    </row>
    <row r="7" spans="1:9" x14ac:dyDescent="0.3">
      <c r="I7" s="42"/>
    </row>
    <row r="8" spans="1:9" x14ac:dyDescent="0.3">
      <c r="I8" s="42"/>
    </row>
    <row r="9" spans="1:9" x14ac:dyDescent="0.3">
      <c r="A9">
        <v>2</v>
      </c>
      <c r="B9" t="s">
        <v>83</v>
      </c>
      <c r="I9" s="42"/>
    </row>
    <row r="10" spans="1:9" x14ac:dyDescent="0.3">
      <c r="B10" t="s">
        <v>84</v>
      </c>
      <c r="I10" s="43">
        <v>4</v>
      </c>
    </row>
    <row r="11" spans="1:9" x14ac:dyDescent="0.3">
      <c r="I11" s="42"/>
    </row>
    <row r="12" spans="1:9" ht="14.5" thickBot="1" x14ac:dyDescent="0.35">
      <c r="H12" t="s">
        <v>9</v>
      </c>
      <c r="I12" s="44">
        <f>SUM(I5:I10)</f>
        <v>8</v>
      </c>
    </row>
    <row r="13" spans="1:9" ht="14.5" thickTop="1" x14ac:dyDescent="0.3"/>
    <row r="16" spans="1:9" x14ac:dyDescent="0.3">
      <c r="G16" t="s">
        <v>214</v>
      </c>
      <c r="I16">
        <f>'שאלה 1א'!E100+'שאלה 1ב'!E26+'מלאי - שאלה 2'!J63+'רכוש קבוע - שאלה 3'!H59+'שאלה 4 - לקוחות '!K31+'שאלה 5- תיאוריה'!I12</f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7</vt:i4>
      </vt:variant>
    </vt:vector>
  </HeadingPairs>
  <TitlesOfParts>
    <vt:vector size="7" baseType="lpstr">
      <vt:lpstr>שם הבחינה</vt:lpstr>
      <vt:lpstr>שאלה 1א</vt:lpstr>
      <vt:lpstr>שאלה 1ב</vt:lpstr>
      <vt:lpstr>מלאי - שאלה 2</vt:lpstr>
      <vt:lpstr>רכוש קבוע - שאלה 3</vt:lpstr>
      <vt:lpstr>שאלה 4 - לקוחות </vt:lpstr>
      <vt:lpstr>שאלה 5- תיאוריה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Lior</cp:lastModifiedBy>
  <cp:lastPrinted>2020-02-18T13:09:58Z</cp:lastPrinted>
  <dcterms:created xsi:type="dcterms:W3CDTF">2016-01-23T10:04:37Z</dcterms:created>
  <dcterms:modified xsi:type="dcterms:W3CDTF">2020-02-18T13:10:02Z</dcterms:modified>
</cp:coreProperties>
</file>