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70" activeTab="3"/>
  </bookViews>
  <sheets>
    <sheet name="שאלה 1 - עריכת דוחות כספיים" sheetId="9" r:id="rId1"/>
    <sheet name="שאלה  2 - לקוחות " sheetId="7" r:id="rId2"/>
    <sheet name="שאלה 3 רכוש קבוע" sheetId="11" r:id="rId3"/>
    <sheet name="שאלה 4 מלאי" sheetId="13" r:id="rId4"/>
  </sheets>
  <calcPr calcId="152511"/>
</workbook>
</file>

<file path=xl/calcChain.xml><?xml version="1.0" encoding="utf-8"?>
<calcChain xmlns="http://schemas.openxmlformats.org/spreadsheetml/2006/main">
  <c r="E64" i="13" l="1"/>
  <c r="B54" i="13" l="1"/>
  <c r="C14" i="13"/>
  <c r="C42" i="13" s="1"/>
  <c r="A9" i="13"/>
  <c r="A10" i="13"/>
  <c r="A11" i="13"/>
  <c r="C12" i="13"/>
  <c r="B39" i="13"/>
  <c r="C24" i="13"/>
  <c r="A23" i="13"/>
  <c r="A22" i="13"/>
  <c r="A21" i="13"/>
  <c r="A8" i="13"/>
  <c r="A24" i="13" l="1"/>
  <c r="B28" i="13" s="1"/>
  <c r="A12" i="13"/>
  <c r="B50" i="13" l="1"/>
  <c r="C37" i="13"/>
  <c r="B37" i="13" s="1"/>
  <c r="B40" i="13" s="1"/>
  <c r="B29" i="13"/>
  <c r="B30" i="13" s="1"/>
  <c r="C18" i="13"/>
  <c r="B51" i="13" l="1"/>
  <c r="C47" i="13"/>
  <c r="B52" i="13"/>
  <c r="B55" i="13" l="1"/>
  <c r="B56" i="13" s="1"/>
  <c r="B42" i="11" l="1"/>
  <c r="B6" i="11"/>
  <c r="B17" i="11"/>
  <c r="B26" i="7" l="1"/>
  <c r="B28" i="7" s="1"/>
  <c r="F8" i="7"/>
  <c r="F10" i="7" s="1"/>
  <c r="H9" i="7" s="1"/>
  <c r="B20" i="7" s="1"/>
  <c r="B21" i="7" s="1"/>
  <c r="E27" i="9"/>
  <c r="C56" i="9"/>
  <c r="C22" i="9"/>
  <c r="C11" i="9"/>
  <c r="C12" i="9" s="1"/>
  <c r="C8" i="9"/>
  <c r="C5" i="9"/>
  <c r="C6" i="9" s="1"/>
  <c r="D45" i="9" l="1"/>
  <c r="C65" i="9"/>
  <c r="D33" i="9"/>
  <c r="G52" i="11" l="1"/>
  <c r="B7" i="11"/>
  <c r="B10" i="11" s="1"/>
  <c r="B11" i="11" s="1"/>
  <c r="J38" i="7"/>
  <c r="C12" i="7"/>
  <c r="B9" i="7" l="1"/>
  <c r="B17" i="7" s="1"/>
  <c r="C71" i="9" l="1"/>
  <c r="E52" i="9"/>
  <c r="C55" i="9" s="1"/>
  <c r="C52" i="9"/>
  <c r="D37" i="9" s="1"/>
  <c r="D34" i="9"/>
  <c r="C24" i="9" s="1"/>
  <c r="C27" i="9" s="1"/>
  <c r="C9" i="9"/>
  <c r="E18" i="9" s="1"/>
  <c r="E19" i="9" s="1"/>
  <c r="C57" i="9" l="1"/>
  <c r="D38" i="9" s="1"/>
  <c r="D39" i="9" s="1"/>
  <c r="C62" i="9"/>
  <c r="D40" i="9" s="1"/>
  <c r="D41" i="9"/>
  <c r="D43" i="9" l="1"/>
  <c r="D46" i="9" s="1"/>
  <c r="F33" i="9" l="1"/>
  <c r="F34" i="9" s="1"/>
  <c r="E25" i="9" s="1"/>
  <c r="E26" i="9" s="1"/>
  <c r="G73" i="9" l="1"/>
</calcChain>
</file>

<file path=xl/sharedStrings.xml><?xml version="1.0" encoding="utf-8"?>
<sst xmlns="http://schemas.openxmlformats.org/spreadsheetml/2006/main" count="180" uniqueCount="150">
  <si>
    <t>מלאי פתיחה</t>
  </si>
  <si>
    <t>רווח גולמי</t>
  </si>
  <si>
    <t>מכירות</t>
  </si>
  <si>
    <t>החזרות מלקוחות</t>
  </si>
  <si>
    <t>לקוחות</t>
  </si>
  <si>
    <t>הפרשה לחומ"ס</t>
  </si>
  <si>
    <t>נדרש 1</t>
  </si>
  <si>
    <t>נדרש 2</t>
  </si>
  <si>
    <t>נדרש 3</t>
  </si>
  <si>
    <t>נדרש 4</t>
  </si>
  <si>
    <t xml:space="preserve">לקוחות </t>
  </si>
  <si>
    <t xml:space="preserve">הוצאות חומ"ס </t>
  </si>
  <si>
    <t>חוב אבוד</t>
  </si>
  <si>
    <t>גביה במזומן (P.N)</t>
  </si>
  <si>
    <t>קניות</t>
  </si>
  <si>
    <t>ניקוד</t>
  </si>
  <si>
    <t>שאלה 1 - עריכת דוחות כספיים</t>
  </si>
  <si>
    <t xml:space="preserve">חלק א </t>
  </si>
  <si>
    <t xml:space="preserve">נדרש 1: </t>
  </si>
  <si>
    <t>פקודות יומן -</t>
  </si>
  <si>
    <t>ז הוצאות לשלם</t>
  </si>
  <si>
    <t>נדרש 2 - דוחות כספיים</t>
  </si>
  <si>
    <t>נכסים שוטפים</t>
  </si>
  <si>
    <t>התחייבויות שוטפות</t>
  </si>
  <si>
    <t>לאחר עדכון</t>
  </si>
  <si>
    <t>הוצאות לשלם</t>
  </si>
  <si>
    <t>מלאי סגירה</t>
  </si>
  <si>
    <t>נכסים לא שוטפים</t>
  </si>
  <si>
    <t>הון עצמי</t>
  </si>
  <si>
    <t>רכוש קבוע, נטו (2)</t>
  </si>
  <si>
    <t>הון מניות</t>
  </si>
  <si>
    <t xml:space="preserve">יתרת רווח /עודפים </t>
  </si>
  <si>
    <t>י. פ עודפים</t>
  </si>
  <si>
    <t>רווח כולל לתקופה</t>
  </si>
  <si>
    <t>לא נדרש להציג!</t>
  </si>
  <si>
    <t>מכירות , נטו (1)</t>
  </si>
  <si>
    <t>עלות המכירות  (3)+(2)</t>
  </si>
  <si>
    <t>הוצאות מכירה ושיווק (4)</t>
  </si>
  <si>
    <t>הוצאות הנהל"כ (5)</t>
  </si>
  <si>
    <t>הכנסות אחרות</t>
  </si>
  <si>
    <t>מכירות,נטו (1)</t>
  </si>
  <si>
    <t>קניות נטו (3)</t>
  </si>
  <si>
    <t xml:space="preserve">קניות </t>
  </si>
  <si>
    <t>עלות המכירות (2)</t>
  </si>
  <si>
    <t>קניות, נטו (5)</t>
  </si>
  <si>
    <t>ארנונה</t>
  </si>
  <si>
    <t>משכורת</t>
  </si>
  <si>
    <t>חשמל</t>
  </si>
  <si>
    <t>סה"כ :</t>
  </si>
  <si>
    <t xml:space="preserve">יתרת רווח/ עודפים </t>
  </si>
  <si>
    <t>עמלות לסוכני מכירות</t>
  </si>
  <si>
    <t>הוצאות מימון</t>
  </si>
  <si>
    <t xml:space="preserve">ביאורים לדוחות </t>
  </si>
  <si>
    <t>31.12.2014</t>
  </si>
  <si>
    <t>י.פ. 1.1.14</t>
  </si>
  <si>
    <t>י.ס. 31.12.14</t>
  </si>
  <si>
    <t>ח. הוצאות חומ"ס</t>
  </si>
  <si>
    <t>עלות</t>
  </si>
  <si>
    <t>פחת שנצבר</t>
  </si>
  <si>
    <t>עלות מופחתת</t>
  </si>
  <si>
    <t>תמורה</t>
  </si>
  <si>
    <t>הפסד הון</t>
  </si>
  <si>
    <t>סה"כ</t>
  </si>
  <si>
    <t>ח.הוצאות פחת מכונות</t>
  </si>
  <si>
    <t>ז. פחת שנצבר מכונות</t>
  </si>
  <si>
    <t>42,000*20%*10/12=</t>
  </si>
  <si>
    <t>ח הוצאות ארנונה</t>
  </si>
  <si>
    <t>55,000/11*1 =</t>
  </si>
  <si>
    <t>ח הוצאות ריבית</t>
  </si>
  <si>
    <t>50,000*6%*6/12=</t>
  </si>
  <si>
    <t>מאזן ליום ה- 31.12.2015  - חברת "פיצה" בע"מ</t>
  </si>
  <si>
    <t>מזומנים</t>
  </si>
  <si>
    <t>מכונות - עלות</t>
  </si>
  <si>
    <t>מכונות - פחת שנצבר</t>
  </si>
  <si>
    <t>רכוש קבוע, נטו (1)</t>
  </si>
  <si>
    <t>הכנסות לקבל</t>
  </si>
  <si>
    <t>השקעה לזמן קצר</t>
  </si>
  <si>
    <t>ספקים</t>
  </si>
  <si>
    <t>הלוואה לזמן ארוך</t>
  </si>
  <si>
    <t>התחייבויות לא שוטפות</t>
  </si>
  <si>
    <t>דו"ח רווח והפסד לשנה שנסתיימה ב- 31.12.15 - חברת "פיצה" בע"מ</t>
  </si>
  <si>
    <t>הנחות מספקים</t>
  </si>
  <si>
    <t>פרסום</t>
  </si>
  <si>
    <t>פחת מכונות</t>
  </si>
  <si>
    <t>טלפון</t>
  </si>
  <si>
    <t>כיבודים</t>
  </si>
  <si>
    <t>הכנסות מימון</t>
  </si>
  <si>
    <t>רווח נקי</t>
  </si>
  <si>
    <t>רווח תפעולי</t>
  </si>
  <si>
    <t xml:space="preserve">שאלה 2 - לקוחות </t>
  </si>
  <si>
    <t>מכירות בהקפה</t>
  </si>
  <si>
    <t>מכירות בהקפה (P.N)</t>
  </si>
  <si>
    <t>ז.הפרשה לחומ"ס</t>
  </si>
  <si>
    <t xml:space="preserve">כלות במגירות </t>
  </si>
  <si>
    <t>סה"כ מכירות</t>
  </si>
  <si>
    <t>5620000/80%=</t>
  </si>
  <si>
    <t>החשב טועה</t>
  </si>
  <si>
    <t>גביית חוב  אבוד במזומן יביא לגידול ביתרת המזומנים כלומר ברכוש השוטף</t>
  </si>
  <si>
    <t>ז. הכנסות ע"ח שנים קודמות.</t>
  </si>
  <si>
    <t>ח. עו"ש</t>
  </si>
  <si>
    <t>שאלה 3  רכוש קבוע</t>
  </si>
  <si>
    <t>חלק א'</t>
  </si>
  <si>
    <t>סעיף א'</t>
  </si>
  <si>
    <t>X=500,000</t>
  </si>
  <si>
    <t>סעיף ב'</t>
  </si>
  <si>
    <t>נדרש א' - עלות הציוד</t>
  </si>
  <si>
    <t xml:space="preserve">נדרש ב' - הוצאות פחת לשנת 2017 </t>
  </si>
  <si>
    <t>נדרש ג' - עלות  מופחתת של הציוד</t>
  </si>
  <si>
    <t>מכונה שנמכרה</t>
  </si>
  <si>
    <t>מגונות שנשארו</t>
  </si>
  <si>
    <t>3* 18,000 *(2/6)=</t>
  </si>
  <si>
    <t>18,000 *(2/6*6/12)=</t>
  </si>
  <si>
    <t>18,000 *(3+2*6/12)/6=</t>
  </si>
  <si>
    <t>סעיף ג'</t>
  </si>
  <si>
    <t xml:space="preserve">הפחתה בשיטת קו ישר לעומת סכום ספרות השנים היורד הייתה מביאה לקיטון בהוצאות הפחת  בשנת 2015 </t>
  </si>
  <si>
    <t>כלומר, לגידול ברווח החברה .</t>
  </si>
  <si>
    <t>אחוז הפחת בשיטת סכום ספרות בשנים היורד לשנת 2015</t>
  </si>
  <si>
    <t>אחוז הפחת בשיטת קו ישר לשנת 2015</t>
  </si>
  <si>
    <t>חלק ב'</t>
  </si>
  <si>
    <t>עלות מלאי הסגירה:</t>
  </si>
  <si>
    <t>עלות ליחידה</t>
  </si>
  <si>
    <t>יחידות</t>
  </si>
  <si>
    <t>שווי מימוש, נטו של מלאי הסגירה :</t>
  </si>
  <si>
    <t>שווי מימוש , נטו = מחיר מכירה בניכוי עלויות מכירה</t>
  </si>
  <si>
    <t xml:space="preserve">מלאי סגירה </t>
  </si>
  <si>
    <t>נדרש  ב'</t>
  </si>
  <si>
    <t>עלות ממוצעת ליחידה</t>
  </si>
  <si>
    <t>מספר יחידות מלאי סגירה</t>
  </si>
  <si>
    <t>עלות מלאי סגירה</t>
  </si>
  <si>
    <t>עלות המכירות</t>
  </si>
  <si>
    <t>מספר יחידות מלאי סגירה ל - 31.12.14</t>
  </si>
  <si>
    <t>נדרש  1</t>
  </si>
  <si>
    <t>440*(30-6)=</t>
  </si>
  <si>
    <t>שווי מימוש , נטו = מחיר מכירה בניכוי עלויות השלמה</t>
  </si>
  <si>
    <t xml:space="preserve">ערך מלאי הסגירה ליום ה- 31.12.2014 : כנמוך מביניהם </t>
  </si>
  <si>
    <t>חישוב סך הקניות לשנת 2014 :</t>
  </si>
  <si>
    <t xml:space="preserve">עלות מכירות לשנת 2014 לפי FIFO תקופתי : </t>
  </si>
  <si>
    <t>חישוב מלאי סגירה ל- 31.12.2014 לפי ממוצע משוקלל :</t>
  </si>
  <si>
    <t>320*55+120*60=</t>
  </si>
  <si>
    <t xml:space="preserve">חברה שרוצה להמשיך להתפתח ולהתמודד בתחרות העתידית מול המתחרים חייבת להשקיע היום. </t>
  </si>
  <si>
    <t>בניתוח הדוח של החברה חשוב לנו לראות האם החברה משקיעה מספיק בציוד, מכונות וביתר ברכוש הקבוע.</t>
  </si>
  <si>
    <t xml:space="preserve"> החשב אינו צודק. </t>
  </si>
  <si>
    <t>חשובה האבחנה בין עלות הרכוש קבוע להפחתתו, כך ניתן ללמוד על היקף ההשקעות של החברה ביחס לפחת.</t>
  </si>
  <si>
    <t>חישוב מספר יחידות במלאי הפתיחה</t>
  </si>
  <si>
    <t>10,000/20=</t>
  </si>
  <si>
    <t>X*(4+3*9/12)/10 =312,500</t>
  </si>
  <si>
    <t>500,000 * (3*3/12+2*9/12)/10 =</t>
  </si>
  <si>
    <t>הציוד הופחת במלואו כבר ב- 1.4.19</t>
  </si>
  <si>
    <t xml:space="preserve">עלות מכירות לשנת 2014 לפי ממוצע משוקלל תקופתי : </t>
  </si>
  <si>
    <t>רווח גולמי לשנת 2014 לפי ממוצע משוקלל תקופתי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</si>
</sst>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22" x14ac:knownFonts="1"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  <charset val="177"/>
    </font>
    <font>
      <b/>
      <u/>
      <sz val="12"/>
      <color theme="1"/>
      <name val="David"/>
      <family val="2"/>
      <charset val="177"/>
    </font>
    <font>
      <b/>
      <u/>
      <sz val="14"/>
      <color theme="1"/>
      <name val="David"/>
      <family val="2"/>
      <charset val="177"/>
    </font>
    <font>
      <u/>
      <sz val="12"/>
      <color theme="1"/>
      <name val="David"/>
      <family val="2"/>
      <charset val="177"/>
    </font>
    <font>
      <sz val="12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name val="David"/>
      <family val="2"/>
      <charset val="177"/>
    </font>
    <font>
      <b/>
      <sz val="12"/>
      <color theme="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0"/>
      <color theme="1"/>
      <name val="David"/>
      <family val="2"/>
      <charset val="177"/>
    </font>
    <font>
      <u val="singleAccounting"/>
      <sz val="12"/>
      <color theme="1"/>
      <name val="David"/>
      <family val="2"/>
      <charset val="177"/>
    </font>
    <font>
      <b/>
      <u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u/>
      <sz val="12"/>
      <color theme="1"/>
      <name val="David"/>
      <family val="2"/>
    </font>
    <font>
      <u/>
      <sz val="12"/>
      <color theme="1"/>
      <name val="David"/>
      <family val="2"/>
    </font>
    <font>
      <u val="singleAccounting"/>
      <sz val="12"/>
      <color theme="1"/>
      <name val="Davi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6" fillId="0" borderId="0"/>
  </cellStyleXfs>
  <cellXfs count="105">
    <xf numFmtId="0" fontId="0" fillId="0" borderId="0" xfId="0"/>
    <xf numFmtId="3" fontId="1" fillId="0" borderId="0" xfId="0" applyNumberFormat="1" applyFont="1"/>
    <xf numFmtId="0" fontId="1" fillId="0" borderId="0" xfId="0" applyFont="1"/>
    <xf numFmtId="3" fontId="2" fillId="2" borderId="0" xfId="0" applyNumberFormat="1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3" fontId="5" fillId="0" borderId="3" xfId="0" applyNumberFormat="1" applyFont="1" applyFill="1" applyBorder="1"/>
    <xf numFmtId="3" fontId="5" fillId="0" borderId="6" xfId="0" applyNumberFormat="1" applyFont="1" applyBorder="1"/>
    <xf numFmtId="3" fontId="5" fillId="0" borderId="0" xfId="0" applyNumberFormat="1" applyFont="1"/>
    <xf numFmtId="0" fontId="5" fillId="0" borderId="6" xfId="0" applyFont="1" applyBorder="1"/>
    <xf numFmtId="0" fontId="5" fillId="0" borderId="0" xfId="0" applyFont="1" applyBorder="1"/>
    <xf numFmtId="3" fontId="5" fillId="0" borderId="3" xfId="0" applyNumberFormat="1" applyFont="1" applyBorder="1"/>
    <xf numFmtId="0" fontId="1" fillId="0" borderId="0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1" fillId="0" borderId="3" xfId="0" applyFont="1" applyBorder="1"/>
    <xf numFmtId="0" fontId="7" fillId="0" borderId="3" xfId="0" applyFont="1" applyFill="1" applyBorder="1"/>
    <xf numFmtId="0" fontId="5" fillId="0" borderId="4" xfId="0" applyFont="1" applyBorder="1"/>
    <xf numFmtId="3" fontId="5" fillId="0" borderId="0" xfId="0" applyNumberFormat="1" applyFont="1" applyBorder="1"/>
    <xf numFmtId="3" fontId="5" fillId="0" borderId="5" xfId="0" applyNumberFormat="1" applyFont="1" applyBorder="1"/>
    <xf numFmtId="0" fontId="8" fillId="0" borderId="0" xfId="0" applyFont="1"/>
    <xf numFmtId="3" fontId="5" fillId="0" borderId="0" xfId="0" applyNumberFormat="1" applyFont="1" applyFill="1"/>
    <xf numFmtId="0" fontId="5" fillId="0" borderId="0" xfId="0" applyFont="1" applyFill="1"/>
    <xf numFmtId="3" fontId="7" fillId="0" borderId="0" xfId="0" applyNumberFormat="1" applyFont="1" applyBorder="1"/>
    <xf numFmtId="3" fontId="6" fillId="0" borderId="0" xfId="0" applyNumberFormat="1" applyFont="1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0" borderId="0" xfId="1" applyNumberFormat="1" applyFont="1"/>
    <xf numFmtId="164" fontId="4" fillId="0" borderId="0" xfId="1" applyNumberFormat="1" applyFont="1"/>
    <xf numFmtId="0" fontId="13" fillId="0" borderId="0" xfId="0" applyFont="1" applyFill="1" applyAlignment="1">
      <alignment horizontal="center"/>
    </xf>
    <xf numFmtId="0" fontId="1" fillId="0" borderId="0" xfId="0" applyFont="1" applyFill="1"/>
    <xf numFmtId="164" fontId="14" fillId="0" borderId="0" xfId="1" applyNumberFormat="1" applyFont="1"/>
    <xf numFmtId="0" fontId="0" fillId="0" borderId="0" xfId="0" applyFill="1"/>
    <xf numFmtId="164" fontId="1" fillId="0" borderId="0" xfId="0" applyNumberFormat="1" applyFont="1"/>
    <xf numFmtId="164" fontId="1" fillId="0" borderId="8" xfId="1" applyNumberFormat="1" applyFont="1" applyBorder="1"/>
    <xf numFmtId="0" fontId="4" fillId="0" borderId="0" xfId="0" applyFont="1" applyBorder="1"/>
    <xf numFmtId="164" fontId="1" fillId="0" borderId="0" xfId="1" applyNumberFormat="1" applyFont="1" applyBorder="1"/>
    <xf numFmtId="164" fontId="14" fillId="0" borderId="0" xfId="1" applyNumberFormat="1" applyFont="1" applyBorder="1"/>
    <xf numFmtId="0" fontId="1" fillId="2" borderId="0" xfId="0" applyFont="1" applyFill="1" applyBorder="1"/>
    <xf numFmtId="164" fontId="1" fillId="0" borderId="7" xfId="1" applyNumberFormat="1" applyFont="1" applyBorder="1"/>
    <xf numFmtId="0" fontId="11" fillId="2" borderId="0" xfId="0" applyFont="1" applyFill="1"/>
    <xf numFmtId="0" fontId="15" fillId="0" borderId="0" xfId="0" applyFont="1"/>
    <xf numFmtId="0" fontId="5" fillId="3" borderId="0" xfId="0" applyFont="1" applyFill="1"/>
    <xf numFmtId="3" fontId="5" fillId="3" borderId="3" xfId="0" applyNumberFormat="1" applyFont="1" applyFill="1" applyBorder="1"/>
    <xf numFmtId="9" fontId="1" fillId="0" borderId="0" xfId="0" applyNumberFormat="1" applyFont="1"/>
    <xf numFmtId="0" fontId="1" fillId="4" borderId="0" xfId="0" applyFont="1" applyFill="1"/>
    <xf numFmtId="3" fontId="1" fillId="4" borderId="0" xfId="0" applyNumberFormat="1" applyFont="1" applyFill="1"/>
    <xf numFmtId="0" fontId="11" fillId="2" borderId="0" xfId="0" applyFont="1" applyFill="1" applyAlignment="1">
      <alignment horizontal="center"/>
    </xf>
    <xf numFmtId="164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17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164" fontId="17" fillId="0" borderId="0" xfId="1" applyNumberFormat="1" applyFont="1"/>
    <xf numFmtId="164" fontId="21" fillId="0" borderId="0" xfId="1" applyNumberFormat="1" applyFont="1"/>
    <xf numFmtId="164" fontId="19" fillId="0" borderId="0" xfId="1" applyNumberFormat="1" applyFont="1"/>
    <xf numFmtId="0" fontId="18" fillId="2" borderId="0" xfId="0" applyFont="1" applyFill="1"/>
    <xf numFmtId="3" fontId="5" fillId="3" borderId="0" xfId="0" applyNumberFormat="1" applyFont="1" applyFill="1" applyAlignment="1">
      <alignment horizontal="center"/>
    </xf>
    <xf numFmtId="3" fontId="1" fillId="0" borderId="0" xfId="0" applyNumberFormat="1" applyFont="1" applyFill="1"/>
    <xf numFmtId="3" fontId="4" fillId="0" borderId="0" xfId="0" applyNumberFormat="1" applyFont="1"/>
    <xf numFmtId="12" fontId="17" fillId="0" borderId="0" xfId="1" applyNumberFormat="1" applyFont="1"/>
    <xf numFmtId="3" fontId="1" fillId="0" borderId="0" xfId="0" applyNumberFormat="1" applyFont="1" applyFill="1" applyBorder="1"/>
    <xf numFmtId="3" fontId="4" fillId="0" borderId="0" xfId="0" applyNumberFormat="1" applyFont="1" applyFill="1"/>
    <xf numFmtId="3" fontId="8" fillId="0" borderId="9" xfId="0" applyNumberFormat="1" applyFont="1" applyBorder="1"/>
    <xf numFmtId="3" fontId="8" fillId="0" borderId="10" xfId="0" applyNumberFormat="1" applyFont="1" applyBorder="1"/>
    <xf numFmtId="3" fontId="8" fillId="0" borderId="0" xfId="0" applyNumberFormat="1" applyFont="1" applyBorder="1"/>
    <xf numFmtId="3" fontId="2" fillId="0" borderId="0" xfId="0" applyNumberFormat="1" applyFont="1"/>
    <xf numFmtId="3" fontId="1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1" fillId="0" borderId="0" xfId="0" applyNumberFormat="1" applyFont="1"/>
    <xf numFmtId="3" fontId="1" fillId="0" borderId="7" xfId="0" applyNumberFormat="1" applyFont="1" applyBorder="1"/>
    <xf numFmtId="2" fontId="1" fillId="0" borderId="0" xfId="0" applyNumberFormat="1" applyFont="1"/>
    <xf numFmtId="0" fontId="8" fillId="0" borderId="0" xfId="0" applyFont="1" applyBorder="1"/>
    <xf numFmtId="3" fontId="8" fillId="0" borderId="0" xfId="0" applyNumberFormat="1" applyFont="1" applyBorder="1" applyAlignment="1">
      <alignment horizontal="center"/>
    </xf>
    <xf numFmtId="0" fontId="2" fillId="0" borderId="0" xfId="0" applyFont="1" applyFill="1" applyAlignment="1">
      <alignment horizontal="right"/>
    </xf>
    <xf numFmtId="3" fontId="1" fillId="0" borderId="0" xfId="0" applyNumberFormat="1" applyFont="1" applyBorder="1"/>
    <xf numFmtId="3" fontId="18" fillId="0" borderId="0" xfId="0" applyNumberFormat="1" applyFont="1"/>
    <xf numFmtId="3" fontId="18" fillId="0" borderId="0" xfId="0" applyNumberFormat="1" applyFont="1" applyFill="1"/>
    <xf numFmtId="3" fontId="18" fillId="0" borderId="9" xfId="0" applyNumberFormat="1" applyFont="1" applyBorder="1"/>
    <xf numFmtId="3" fontId="18" fillId="0" borderId="10" xfId="0" applyNumberFormat="1" applyFont="1" applyBorder="1"/>
    <xf numFmtId="3" fontId="18" fillId="0" borderId="11" xfId="0" applyNumberFormat="1" applyFont="1" applyBorder="1"/>
    <xf numFmtId="3" fontId="19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3" fontId="18" fillId="2" borderId="0" xfId="0" applyNumberFormat="1" applyFont="1" applyFill="1"/>
    <xf numFmtId="3" fontId="19" fillId="2" borderId="0" xfId="0" applyNumberFormat="1" applyFont="1" applyFill="1"/>
    <xf numFmtId="4" fontId="18" fillId="2" borderId="0" xfId="0" applyNumberFormat="1" applyFont="1" applyFill="1"/>
    <xf numFmtId="3" fontId="18" fillId="2" borderId="0" xfId="0" applyNumberFormat="1" applyFont="1" applyFill="1" applyAlignment="1">
      <alignment horizontal="center"/>
    </xf>
    <xf numFmtId="2" fontId="18" fillId="2" borderId="0" xfId="0" applyNumberFormat="1" applyFont="1" applyFill="1"/>
    <xf numFmtId="0" fontId="17" fillId="0" borderId="0" xfId="0" applyFont="1" applyAlignment="1">
      <alignment horizontal="right" vertical="center" readingOrder="2"/>
    </xf>
    <xf numFmtId="0" fontId="17" fillId="0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right"/>
    </xf>
  </cellXfs>
  <cellStyles count="7">
    <cellStyle name="Comma" xfId="1" builtinId="3"/>
    <cellStyle name="Comma 2" xfId="2"/>
    <cellStyle name="Comma 3" xfId="3"/>
    <cellStyle name="Normal" xfId="0" builtinId="0"/>
    <cellStyle name="Normal 2" xfId="4"/>
    <cellStyle name="Normal 3" xfId="5"/>
    <cellStyle name="Normal 4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rightToLeft="1" topLeftCell="A61" workbookViewId="0">
      <selection activeCell="D72" sqref="D72"/>
    </sheetView>
  </sheetViews>
  <sheetFormatPr defaultRowHeight="14" x14ac:dyDescent="0.3"/>
  <cols>
    <col min="1" max="1" width="15.58203125" customWidth="1"/>
    <col min="2" max="2" width="21.5" customWidth="1"/>
    <col min="3" max="3" width="18.58203125" customWidth="1"/>
    <col min="4" max="4" width="28" customWidth="1"/>
    <col min="5" max="5" width="15.58203125" bestFit="1" customWidth="1"/>
    <col min="6" max="6" width="11.1640625" customWidth="1"/>
    <col min="7" max="7" width="9" style="34"/>
  </cols>
  <sheetData>
    <row r="1" spans="1:8" ht="18" x14ac:dyDescent="0.4">
      <c r="B1" s="4" t="s">
        <v>16</v>
      </c>
      <c r="G1" s="55"/>
    </row>
    <row r="2" spans="1:8" ht="15.5" x14ac:dyDescent="0.35">
      <c r="A2" s="5" t="s">
        <v>17</v>
      </c>
      <c r="B2" s="2"/>
      <c r="C2" s="2"/>
      <c r="D2" s="2"/>
      <c r="E2" s="2"/>
      <c r="F2" s="2"/>
      <c r="G2" s="55"/>
    </row>
    <row r="3" spans="1:8" ht="15.5" x14ac:dyDescent="0.35">
      <c r="B3" s="5" t="s">
        <v>18</v>
      </c>
      <c r="C3" s="2"/>
      <c r="D3" s="2"/>
      <c r="E3" s="2"/>
      <c r="G3" s="55"/>
    </row>
    <row r="4" spans="1:8" ht="15.5" x14ac:dyDescent="0.35">
      <c r="B4" s="6" t="s">
        <v>19</v>
      </c>
      <c r="C4" s="2"/>
      <c r="D4" s="2"/>
      <c r="E4" s="2"/>
      <c r="F4" s="2"/>
      <c r="G4" s="56"/>
      <c r="H4" s="2"/>
    </row>
    <row r="5" spans="1:8" ht="15.5" x14ac:dyDescent="0.35">
      <c r="A5" s="9">
        <v>1</v>
      </c>
      <c r="B5" s="2" t="s">
        <v>63</v>
      </c>
      <c r="C5" s="35">
        <f>42000*0.2*10/12</f>
        <v>7000</v>
      </c>
      <c r="D5" s="2" t="s">
        <v>65</v>
      </c>
      <c r="E5" s="2"/>
      <c r="F5" s="2"/>
      <c r="G5" s="29">
        <v>3</v>
      </c>
      <c r="H5" s="2"/>
    </row>
    <row r="6" spans="1:8" ht="15.5" x14ac:dyDescent="0.35">
      <c r="B6" s="2" t="s">
        <v>64</v>
      </c>
      <c r="C6" s="35">
        <f>C5</f>
        <v>7000</v>
      </c>
      <c r="E6" s="2"/>
      <c r="F6" s="2"/>
      <c r="G6" s="29"/>
      <c r="H6" s="2"/>
    </row>
    <row r="7" spans="1:8" ht="15.5" x14ac:dyDescent="0.35">
      <c r="B7" s="2"/>
      <c r="C7" s="35"/>
      <c r="D7" s="2"/>
      <c r="E7" s="2"/>
      <c r="F7" s="2"/>
      <c r="G7" s="29"/>
      <c r="H7" s="2"/>
    </row>
    <row r="8" spans="1:8" ht="15.5" x14ac:dyDescent="0.35">
      <c r="A8" s="9">
        <v>2</v>
      </c>
      <c r="B8" s="2" t="s">
        <v>66</v>
      </c>
      <c r="C8" s="35">
        <f>55000/11*1</f>
        <v>5000</v>
      </c>
      <c r="D8" s="2" t="s">
        <v>67</v>
      </c>
      <c r="E8" s="2"/>
      <c r="F8" s="2"/>
      <c r="G8" s="29">
        <v>2</v>
      </c>
      <c r="H8" s="2"/>
    </row>
    <row r="9" spans="1:8" ht="15.5" x14ac:dyDescent="0.35">
      <c r="B9" s="2" t="s">
        <v>20</v>
      </c>
      <c r="C9" s="35">
        <f>C8</f>
        <v>5000</v>
      </c>
      <c r="D9" s="2"/>
      <c r="E9" s="2"/>
      <c r="F9" s="2"/>
      <c r="G9" s="29"/>
      <c r="H9" s="2"/>
    </row>
    <row r="10" spans="1:8" ht="15.5" x14ac:dyDescent="0.35">
      <c r="B10" s="2"/>
      <c r="C10" s="35"/>
      <c r="D10" s="2"/>
      <c r="E10" s="2"/>
      <c r="F10" s="2"/>
      <c r="G10" s="29"/>
      <c r="H10" s="2"/>
    </row>
    <row r="11" spans="1:8" ht="15.5" x14ac:dyDescent="0.35">
      <c r="A11" s="9">
        <v>3</v>
      </c>
      <c r="B11" s="2" t="s">
        <v>68</v>
      </c>
      <c r="C11" s="35">
        <f>50000*0.06*0.5</f>
        <v>1500</v>
      </c>
      <c r="D11" s="2" t="s">
        <v>69</v>
      </c>
      <c r="F11" s="2"/>
      <c r="G11" s="29">
        <v>2</v>
      </c>
      <c r="H11" s="2"/>
    </row>
    <row r="12" spans="1:8" ht="15.5" x14ac:dyDescent="0.35">
      <c r="B12" s="2" t="s">
        <v>20</v>
      </c>
      <c r="C12" s="35">
        <f>C11</f>
        <v>1500</v>
      </c>
      <c r="D12" s="2"/>
      <c r="F12" s="2"/>
      <c r="G12" s="29"/>
      <c r="H12" s="2"/>
    </row>
    <row r="13" spans="1:8" ht="15.5" x14ac:dyDescent="0.35">
      <c r="B13" s="2"/>
      <c r="C13" s="35"/>
      <c r="D13" s="2"/>
      <c r="F13" s="2"/>
      <c r="G13" s="29"/>
      <c r="H13" s="2"/>
    </row>
    <row r="14" spans="1:8" ht="15.5" x14ac:dyDescent="0.35">
      <c r="B14" s="5" t="s">
        <v>21</v>
      </c>
      <c r="C14" s="2"/>
      <c r="D14" s="2"/>
      <c r="E14" s="2"/>
      <c r="F14" s="2"/>
      <c r="G14" s="29"/>
      <c r="H14" s="2"/>
    </row>
    <row r="15" spans="1:8" ht="15.5" x14ac:dyDescent="0.35">
      <c r="B15" s="5" t="s">
        <v>70</v>
      </c>
      <c r="C15" s="5"/>
      <c r="D15" s="2"/>
      <c r="E15" s="2"/>
      <c r="G15" s="55"/>
      <c r="H15" s="2"/>
    </row>
    <row r="16" spans="1:8" ht="15.5" x14ac:dyDescent="0.35">
      <c r="B16" s="36" t="s">
        <v>22</v>
      </c>
      <c r="C16" s="35"/>
      <c r="D16" s="36" t="s">
        <v>23</v>
      </c>
      <c r="E16" s="35"/>
      <c r="G16" s="55"/>
      <c r="H16" s="2"/>
    </row>
    <row r="17" spans="1:8" ht="15.5" x14ac:dyDescent="0.35">
      <c r="A17" s="37"/>
      <c r="B17" s="35" t="s">
        <v>71</v>
      </c>
      <c r="C17" s="35">
        <v>80000</v>
      </c>
      <c r="D17" s="35" t="s">
        <v>77</v>
      </c>
      <c r="E17" s="35">
        <v>22000</v>
      </c>
      <c r="F17" s="38"/>
      <c r="G17" s="29"/>
      <c r="H17" s="2"/>
    </row>
    <row r="18" spans="1:8" ht="18.5" x14ac:dyDescent="0.65">
      <c r="B18" s="2" t="s">
        <v>4</v>
      </c>
      <c r="C18" s="35">
        <v>34000</v>
      </c>
      <c r="D18" s="35" t="s">
        <v>25</v>
      </c>
      <c r="E18" s="39">
        <f>C9+C12</f>
        <v>6500</v>
      </c>
      <c r="F18" s="37" t="s">
        <v>24</v>
      </c>
      <c r="G18" s="29"/>
      <c r="H18" s="2"/>
    </row>
    <row r="19" spans="1:8" ht="15.5" x14ac:dyDescent="0.35">
      <c r="A19" s="37"/>
      <c r="B19" s="2" t="s">
        <v>75</v>
      </c>
      <c r="C19" s="35">
        <v>7000</v>
      </c>
      <c r="E19" s="35">
        <f>SUM(E17:E18)</f>
        <v>28500</v>
      </c>
      <c r="G19" s="29"/>
      <c r="H19" s="2"/>
    </row>
    <row r="20" spans="1:8" ht="18.5" x14ac:dyDescent="0.65">
      <c r="A20" s="37"/>
      <c r="B20" s="2" t="s">
        <v>76</v>
      </c>
      <c r="C20" s="35">
        <v>40000</v>
      </c>
      <c r="D20" s="36" t="s">
        <v>79</v>
      </c>
      <c r="E20" s="39"/>
      <c r="G20" s="29"/>
      <c r="H20" s="2"/>
    </row>
    <row r="21" spans="1:8" ht="18.5" x14ac:dyDescent="0.65">
      <c r="A21" s="40"/>
      <c r="B21" s="35" t="s">
        <v>26</v>
      </c>
      <c r="C21" s="39">
        <v>19000</v>
      </c>
      <c r="D21" s="35" t="s">
        <v>78</v>
      </c>
      <c r="E21" s="35">
        <v>50000</v>
      </c>
      <c r="F21" s="37"/>
      <c r="G21" s="29">
        <v>3</v>
      </c>
      <c r="H21" s="2"/>
    </row>
    <row r="22" spans="1:8" ht="15.5" x14ac:dyDescent="0.35">
      <c r="A22" s="40"/>
      <c r="C22" s="35">
        <f>SUM(C17:C21)</f>
        <v>180000</v>
      </c>
      <c r="D22" s="36"/>
      <c r="E22" s="35"/>
      <c r="F22" s="2"/>
      <c r="G22" s="29"/>
      <c r="H22" s="2"/>
    </row>
    <row r="23" spans="1:8" ht="15.5" x14ac:dyDescent="0.35">
      <c r="A23" s="37"/>
      <c r="B23" s="36" t="s">
        <v>27</v>
      </c>
      <c r="C23" s="35"/>
      <c r="D23" s="36" t="s">
        <v>28</v>
      </c>
      <c r="F23" s="2"/>
      <c r="G23" s="29"/>
      <c r="H23" s="2"/>
    </row>
    <row r="24" spans="1:8" ht="15.5" x14ac:dyDescent="0.35">
      <c r="B24" s="2" t="s">
        <v>29</v>
      </c>
      <c r="C24" s="35">
        <f>D34</f>
        <v>35000</v>
      </c>
      <c r="D24" s="35" t="s">
        <v>30</v>
      </c>
      <c r="E24" s="35">
        <v>10000</v>
      </c>
      <c r="F24" s="41"/>
      <c r="G24" s="55"/>
      <c r="H24" s="2"/>
    </row>
    <row r="25" spans="1:8" ht="15.5" x14ac:dyDescent="0.35">
      <c r="B25" s="35"/>
      <c r="C25" s="35"/>
      <c r="D25" s="2" t="s">
        <v>49</v>
      </c>
      <c r="E25" s="36">
        <f>F34</f>
        <v>126500</v>
      </c>
      <c r="F25" s="2"/>
      <c r="G25" s="29"/>
      <c r="H25" s="2"/>
    </row>
    <row r="26" spans="1:8" ht="15.5" x14ac:dyDescent="0.35">
      <c r="D26" s="35"/>
      <c r="E26" s="35">
        <f>SUM(E24:E25)</f>
        <v>136500</v>
      </c>
      <c r="F26" s="2"/>
      <c r="G26" s="29">
        <v>3</v>
      </c>
      <c r="H26" s="2"/>
    </row>
    <row r="27" spans="1:8" ht="16" thickBot="1" x14ac:dyDescent="0.4">
      <c r="B27" s="35"/>
      <c r="C27" s="42">
        <f>C22+C24</f>
        <v>215000</v>
      </c>
      <c r="D27" s="35"/>
      <c r="E27" s="42">
        <f>E26+E21+E19</f>
        <v>215000</v>
      </c>
      <c r="F27" s="2"/>
      <c r="G27" s="29"/>
      <c r="H27" s="2"/>
    </row>
    <row r="28" spans="1:8" ht="16" thickTop="1" x14ac:dyDescent="0.35">
      <c r="B28" s="35"/>
      <c r="C28" s="44"/>
      <c r="D28" s="35"/>
      <c r="E28" s="44"/>
      <c r="F28" s="2"/>
      <c r="G28" s="29"/>
      <c r="H28" s="2"/>
    </row>
    <row r="29" spans="1:8" ht="15.5" x14ac:dyDescent="0.35">
      <c r="A29" s="5" t="s">
        <v>52</v>
      </c>
      <c r="B29" s="35"/>
      <c r="C29" s="35"/>
      <c r="D29" s="35"/>
      <c r="E29" s="35"/>
      <c r="F29" s="2"/>
      <c r="G29" s="29"/>
      <c r="H29" s="2"/>
    </row>
    <row r="30" spans="1:8" ht="15.5" x14ac:dyDescent="0.35">
      <c r="A30" s="49"/>
      <c r="B30" s="35"/>
      <c r="C30" s="35"/>
      <c r="D30" s="35"/>
      <c r="E30" s="35"/>
      <c r="F30" s="2"/>
      <c r="G30" s="29"/>
      <c r="H30" s="2"/>
    </row>
    <row r="31" spans="1:8" ht="15.5" x14ac:dyDescent="0.35">
      <c r="A31" s="6"/>
      <c r="B31" s="35"/>
      <c r="C31" s="6" t="s">
        <v>74</v>
      </c>
      <c r="D31" s="35"/>
      <c r="E31" s="43" t="s">
        <v>31</v>
      </c>
      <c r="F31" s="44"/>
      <c r="G31" s="57"/>
    </row>
    <row r="32" spans="1:8" ht="15.5" x14ac:dyDescent="0.35">
      <c r="A32" s="35"/>
      <c r="B32" s="35"/>
      <c r="C32" s="35" t="s">
        <v>72</v>
      </c>
      <c r="D32" s="35">
        <v>42000</v>
      </c>
      <c r="E32" s="44" t="s">
        <v>32</v>
      </c>
      <c r="F32" s="44">
        <v>44500</v>
      </c>
      <c r="G32" s="57"/>
    </row>
    <row r="33" spans="1:8" ht="18.5" x14ac:dyDescent="0.65">
      <c r="A33" s="35"/>
      <c r="B33" s="39"/>
      <c r="C33" s="35" t="s">
        <v>73</v>
      </c>
      <c r="D33" s="39">
        <f>-C5</f>
        <v>-7000</v>
      </c>
      <c r="E33" s="44" t="s">
        <v>33</v>
      </c>
      <c r="F33" s="45">
        <f>D46</f>
        <v>82000</v>
      </c>
      <c r="G33" s="29">
        <v>3</v>
      </c>
    </row>
    <row r="34" spans="1:8" ht="13.5" customHeight="1" x14ac:dyDescent="0.35">
      <c r="A34" s="35"/>
      <c r="B34" s="35"/>
      <c r="C34" s="35"/>
      <c r="D34" s="35">
        <f>SUM(D32:D33)</f>
        <v>35000</v>
      </c>
      <c r="E34" s="44"/>
      <c r="F34" s="44">
        <f>SUM(F32:F33)</f>
        <v>126500</v>
      </c>
      <c r="G34" s="55"/>
    </row>
    <row r="35" spans="1:8" ht="18.75" customHeight="1" x14ac:dyDescent="0.35">
      <c r="C35" s="35"/>
      <c r="D35" s="35"/>
      <c r="E35" s="44"/>
      <c r="F35" s="46" t="s">
        <v>34</v>
      </c>
      <c r="G35" s="58"/>
    </row>
    <row r="36" spans="1:8" ht="15.5" x14ac:dyDescent="0.35">
      <c r="B36" s="5" t="s">
        <v>80</v>
      </c>
      <c r="C36" s="5"/>
      <c r="D36" s="5"/>
      <c r="E36" s="2"/>
      <c r="F36" s="2"/>
      <c r="G36" s="29"/>
      <c r="H36" s="2"/>
    </row>
    <row r="37" spans="1:8" ht="15.5" x14ac:dyDescent="0.35">
      <c r="B37" s="2" t="s">
        <v>35</v>
      </c>
      <c r="C37" s="35"/>
      <c r="D37" s="35">
        <f>C52</f>
        <v>332000</v>
      </c>
      <c r="E37" s="2"/>
      <c r="F37" s="2"/>
      <c r="G37" s="29"/>
      <c r="H37" s="2"/>
    </row>
    <row r="38" spans="1:8" ht="15.5" x14ac:dyDescent="0.35">
      <c r="B38" s="2" t="s">
        <v>36</v>
      </c>
      <c r="C38" s="35"/>
      <c r="D38" s="47">
        <f>-C57</f>
        <v>-66000</v>
      </c>
      <c r="E38" s="2"/>
      <c r="F38" s="2"/>
      <c r="G38" s="29"/>
      <c r="H38" s="2"/>
    </row>
    <row r="39" spans="1:8" ht="15.5" x14ac:dyDescent="0.35">
      <c r="B39" s="2" t="s">
        <v>1</v>
      </c>
      <c r="C39" s="35"/>
      <c r="D39" s="35">
        <f>SUM(D37:D38)</f>
        <v>266000</v>
      </c>
      <c r="E39" s="2"/>
      <c r="F39" s="2"/>
      <c r="G39" s="29"/>
      <c r="H39" s="2"/>
    </row>
    <row r="40" spans="1:8" ht="15.5" x14ac:dyDescent="0.35">
      <c r="B40" s="2" t="s">
        <v>37</v>
      </c>
      <c r="C40" s="35"/>
      <c r="D40" s="35">
        <f>-C62</f>
        <v>-81000</v>
      </c>
      <c r="E40" s="2"/>
      <c r="F40" s="2"/>
      <c r="G40" s="29"/>
      <c r="H40" s="2"/>
    </row>
    <row r="41" spans="1:8" ht="15.5" x14ac:dyDescent="0.35">
      <c r="B41" s="2" t="s">
        <v>38</v>
      </c>
      <c r="C41" s="35"/>
      <c r="D41" s="35">
        <f>-C71</f>
        <v>-175000</v>
      </c>
      <c r="E41" s="2"/>
      <c r="F41" s="2"/>
      <c r="G41" s="29"/>
      <c r="H41" s="2"/>
    </row>
    <row r="42" spans="1:8" ht="18.5" x14ac:dyDescent="0.65">
      <c r="A42" s="37"/>
      <c r="B42" s="2" t="s">
        <v>39</v>
      </c>
      <c r="C42" s="35"/>
      <c r="D42" s="39">
        <v>68000</v>
      </c>
      <c r="E42" s="2"/>
      <c r="F42" s="2"/>
      <c r="G42" s="29"/>
      <c r="H42" s="2"/>
    </row>
    <row r="43" spans="1:8" ht="15.5" x14ac:dyDescent="0.35">
      <c r="B43" s="2" t="s">
        <v>88</v>
      </c>
      <c r="C43" s="35"/>
      <c r="D43" s="35">
        <f>SUM(D39:D42)</f>
        <v>78000</v>
      </c>
      <c r="E43" s="2"/>
      <c r="F43" s="2"/>
      <c r="G43" s="29"/>
      <c r="H43" s="2"/>
    </row>
    <row r="44" spans="1:8" ht="15.5" x14ac:dyDescent="0.35">
      <c r="B44" s="2" t="s">
        <v>86</v>
      </c>
      <c r="C44" s="35"/>
      <c r="D44" s="35">
        <v>5500</v>
      </c>
      <c r="E44" s="2"/>
      <c r="F44" s="2"/>
      <c r="G44" s="29"/>
      <c r="H44" s="2"/>
    </row>
    <row r="45" spans="1:8" ht="15.5" x14ac:dyDescent="0.35">
      <c r="A45" s="37"/>
      <c r="B45" s="2" t="s">
        <v>51</v>
      </c>
      <c r="C45" s="35"/>
      <c r="D45" s="36">
        <f>-C11</f>
        <v>-1500</v>
      </c>
      <c r="E45" s="2"/>
      <c r="F45" s="2"/>
      <c r="G45" s="29"/>
      <c r="H45" s="2"/>
    </row>
    <row r="46" spans="1:8" ht="15.5" x14ac:dyDescent="0.35">
      <c r="B46" s="24" t="s">
        <v>87</v>
      </c>
      <c r="C46" s="35"/>
      <c r="D46" s="35">
        <f>SUM(D43:D45)</f>
        <v>82000</v>
      </c>
      <c r="E46" s="2"/>
      <c r="F46" s="2"/>
      <c r="G46" s="29">
        <v>3</v>
      </c>
      <c r="H46" s="2"/>
    </row>
    <row r="47" spans="1:8" ht="15.5" x14ac:dyDescent="0.35">
      <c r="B47" s="2"/>
      <c r="C47" s="35"/>
      <c r="D47" s="35"/>
      <c r="E47" s="2"/>
      <c r="F47" s="2"/>
      <c r="G47" s="29"/>
      <c r="H47" s="2"/>
    </row>
    <row r="48" spans="1:8" ht="15.5" x14ac:dyDescent="0.35">
      <c r="B48" s="2"/>
      <c r="C48" s="35"/>
      <c r="D48" s="35"/>
      <c r="E48" s="2"/>
      <c r="F48" s="2"/>
      <c r="G48" s="29"/>
      <c r="H48" s="2"/>
    </row>
    <row r="49" spans="1:8" ht="15.5" x14ac:dyDescent="0.35">
      <c r="B49" s="6" t="s">
        <v>40</v>
      </c>
      <c r="C49" s="2"/>
      <c r="D49" s="6" t="s">
        <v>41</v>
      </c>
      <c r="E49" s="2"/>
      <c r="G49" s="55"/>
      <c r="H49" s="2"/>
    </row>
    <row r="50" spans="1:8" ht="15.5" x14ac:dyDescent="0.35">
      <c r="B50" s="2" t="s">
        <v>2</v>
      </c>
      <c r="C50" s="35">
        <v>352000</v>
      </c>
      <c r="D50" s="2" t="s">
        <v>42</v>
      </c>
      <c r="E50" s="35">
        <v>92000</v>
      </c>
      <c r="F50" s="35"/>
      <c r="G50" s="55"/>
      <c r="H50" s="2"/>
    </row>
    <row r="51" spans="1:8" ht="18.5" x14ac:dyDescent="0.65">
      <c r="B51" s="2" t="s">
        <v>3</v>
      </c>
      <c r="C51" s="36">
        <v>-20000</v>
      </c>
      <c r="D51" s="2" t="s">
        <v>81</v>
      </c>
      <c r="E51" s="39">
        <v>-7000</v>
      </c>
      <c r="F51" s="35"/>
      <c r="G51" s="55"/>
      <c r="H51" s="2"/>
    </row>
    <row r="52" spans="1:8" ht="15.5" x14ac:dyDescent="0.35">
      <c r="B52" s="2"/>
      <c r="C52" s="35">
        <f>SUM(C50:C51)</f>
        <v>332000</v>
      </c>
      <c r="D52" s="2"/>
      <c r="E52" s="44">
        <f>SUM(E50:E51)</f>
        <v>85000</v>
      </c>
      <c r="G52" s="29">
        <v>2</v>
      </c>
      <c r="H52" s="2"/>
    </row>
    <row r="53" spans="1:8" ht="15.5" x14ac:dyDescent="0.35">
      <c r="B53" s="6" t="s">
        <v>43</v>
      </c>
      <c r="C53" s="35"/>
      <c r="D53" s="2"/>
      <c r="E53" s="35"/>
      <c r="F53" s="2"/>
      <c r="G53" s="59"/>
      <c r="H53" s="2"/>
    </row>
    <row r="54" spans="1:8" ht="15.5" x14ac:dyDescent="0.35">
      <c r="B54" s="2" t="s">
        <v>0</v>
      </c>
      <c r="C54" s="35">
        <v>0</v>
      </c>
      <c r="F54" s="2"/>
      <c r="G54" s="59"/>
      <c r="H54" s="2"/>
    </row>
    <row r="55" spans="1:8" ht="15.5" x14ac:dyDescent="0.35">
      <c r="B55" s="2" t="s">
        <v>44</v>
      </c>
      <c r="C55" s="35">
        <f>E52</f>
        <v>85000</v>
      </c>
      <c r="F55" s="2"/>
      <c r="G55" s="59"/>
      <c r="H55" s="2"/>
    </row>
    <row r="56" spans="1:8" ht="15.5" x14ac:dyDescent="0.35">
      <c r="A56" s="37" t="s">
        <v>24</v>
      </c>
      <c r="B56" s="2" t="s">
        <v>26</v>
      </c>
      <c r="C56" s="36">
        <f>-C21</f>
        <v>-19000</v>
      </c>
      <c r="F56" s="2"/>
      <c r="G56" s="29">
        <v>2</v>
      </c>
      <c r="H56" s="2"/>
    </row>
    <row r="57" spans="1:8" ht="15.5" x14ac:dyDescent="0.35">
      <c r="B57" s="2"/>
      <c r="C57" s="35">
        <f>SUM(C54:C56)</f>
        <v>66000</v>
      </c>
      <c r="F57" s="2"/>
      <c r="G57" s="59"/>
      <c r="H57" s="2"/>
    </row>
    <row r="58" spans="1:8" ht="15.5" x14ac:dyDescent="0.35">
      <c r="B58" s="2"/>
      <c r="C58" s="35"/>
      <c r="F58" s="2"/>
      <c r="G58" s="59"/>
      <c r="H58" s="2"/>
    </row>
    <row r="59" spans="1:8" ht="15.5" x14ac:dyDescent="0.35">
      <c r="B59" s="6" t="s">
        <v>37</v>
      </c>
      <c r="C59" s="35"/>
      <c r="D59" s="2"/>
      <c r="E59" s="2"/>
      <c r="F59" s="2"/>
      <c r="G59" s="29"/>
      <c r="H59" s="2"/>
    </row>
    <row r="60" spans="1:8" ht="15.5" x14ac:dyDescent="0.35">
      <c r="B60" s="2" t="s">
        <v>82</v>
      </c>
      <c r="C60" s="35">
        <v>11000</v>
      </c>
      <c r="D60" s="2"/>
      <c r="E60" s="2"/>
      <c r="F60" s="2"/>
      <c r="G60" s="29"/>
      <c r="H60" s="2"/>
    </row>
    <row r="61" spans="1:8" ht="18.5" x14ac:dyDescent="0.65">
      <c r="A61" s="37"/>
      <c r="B61" s="2" t="s">
        <v>50</v>
      </c>
      <c r="C61" s="39">
        <v>70000</v>
      </c>
      <c r="D61" s="2"/>
      <c r="E61" s="2"/>
      <c r="F61" s="2"/>
      <c r="G61" s="29"/>
      <c r="H61" s="2"/>
    </row>
    <row r="62" spans="1:8" ht="15.5" x14ac:dyDescent="0.35">
      <c r="B62" s="2"/>
      <c r="C62" s="35">
        <f>SUM(C60:C61)</f>
        <v>81000</v>
      </c>
      <c r="D62" s="38"/>
      <c r="E62" s="2"/>
      <c r="F62" s="2"/>
      <c r="G62" s="29">
        <v>2</v>
      </c>
      <c r="H62" s="2"/>
    </row>
    <row r="63" spans="1:8" ht="15.5" x14ac:dyDescent="0.35">
      <c r="B63" s="2"/>
      <c r="C63" s="35"/>
      <c r="D63" s="38"/>
      <c r="E63" s="2"/>
      <c r="F63" s="2"/>
      <c r="G63" s="29"/>
      <c r="H63" s="2"/>
    </row>
    <row r="64" spans="1:8" ht="15.5" x14ac:dyDescent="0.35">
      <c r="B64" s="6" t="s">
        <v>38</v>
      </c>
      <c r="C64" s="35"/>
      <c r="D64" s="38"/>
      <c r="E64" s="2"/>
      <c r="F64" s="2"/>
      <c r="G64" s="29"/>
      <c r="H64" s="2"/>
    </row>
    <row r="65" spans="1:8" ht="15.5" x14ac:dyDescent="0.35">
      <c r="B65" s="2" t="s">
        <v>83</v>
      </c>
      <c r="C65" s="35">
        <f>C5</f>
        <v>7000</v>
      </c>
      <c r="D65" s="38"/>
      <c r="E65" s="2"/>
      <c r="F65" s="2"/>
      <c r="G65" s="29"/>
      <c r="H65" s="2"/>
    </row>
    <row r="66" spans="1:8" ht="15.5" x14ac:dyDescent="0.35">
      <c r="A66" s="37" t="s">
        <v>24</v>
      </c>
      <c r="B66" s="2" t="s">
        <v>45</v>
      </c>
      <c r="C66" s="35">
        <v>60000</v>
      </c>
      <c r="D66" s="38"/>
      <c r="E66" s="2"/>
      <c r="F66" s="2"/>
      <c r="G66" s="29"/>
      <c r="H66" s="2"/>
    </row>
    <row r="67" spans="1:8" ht="15.5" x14ac:dyDescent="0.35">
      <c r="B67" s="2" t="s">
        <v>46</v>
      </c>
      <c r="C67" s="35">
        <v>43000</v>
      </c>
      <c r="D67" s="38"/>
      <c r="E67" s="2"/>
      <c r="F67" s="2"/>
      <c r="G67" s="29"/>
      <c r="H67" s="2"/>
    </row>
    <row r="68" spans="1:8" ht="15.5" x14ac:dyDescent="0.35">
      <c r="B68" s="2" t="s">
        <v>84</v>
      </c>
      <c r="C68" s="35">
        <v>18000</v>
      </c>
      <c r="D68" s="38"/>
      <c r="E68" s="2"/>
      <c r="F68" s="2"/>
      <c r="G68" s="29"/>
      <c r="H68" s="2"/>
    </row>
    <row r="69" spans="1:8" ht="15.5" x14ac:dyDescent="0.35">
      <c r="B69" s="2" t="s">
        <v>47</v>
      </c>
      <c r="C69" s="35">
        <v>31000</v>
      </c>
      <c r="D69" s="2"/>
      <c r="E69" s="2"/>
      <c r="F69" s="2"/>
      <c r="G69" s="29"/>
      <c r="H69" s="2"/>
    </row>
    <row r="70" spans="1:8" ht="18.5" x14ac:dyDescent="0.65">
      <c r="B70" s="2" t="s">
        <v>85</v>
      </c>
      <c r="C70" s="39">
        <v>16000</v>
      </c>
      <c r="D70" s="2"/>
      <c r="E70" s="2"/>
      <c r="F70" s="2"/>
      <c r="G70" s="29"/>
      <c r="H70" s="2"/>
    </row>
    <row r="71" spans="1:8" ht="15.5" x14ac:dyDescent="0.35">
      <c r="B71" s="2"/>
      <c r="C71" s="35">
        <f>SUM(C65:C70)</f>
        <v>175000</v>
      </c>
      <c r="D71" s="33"/>
      <c r="E71" s="2"/>
      <c r="F71" s="2"/>
      <c r="G71" s="29">
        <v>3</v>
      </c>
      <c r="H71" s="2"/>
    </row>
    <row r="72" spans="1:8" ht="15.5" x14ac:dyDescent="0.35">
      <c r="B72" s="2"/>
      <c r="C72" s="35"/>
      <c r="D72" s="33"/>
      <c r="E72" s="2"/>
      <c r="F72" s="2"/>
      <c r="G72" s="29"/>
      <c r="H72" s="2"/>
    </row>
    <row r="73" spans="1:8" ht="15.5" x14ac:dyDescent="0.35">
      <c r="F73" s="48" t="s">
        <v>48</v>
      </c>
      <c r="G73" s="29">
        <f>SUM(G1:G71)</f>
        <v>28</v>
      </c>
    </row>
  </sheetData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rightToLeft="1" topLeftCell="A16" workbookViewId="0">
      <selection activeCell="K38" sqref="K38"/>
    </sheetView>
  </sheetViews>
  <sheetFormatPr defaultColWidth="9" defaultRowHeight="15.5" x14ac:dyDescent="0.35"/>
  <cols>
    <col min="1" max="1" width="18" style="2" customWidth="1"/>
    <col min="2" max="2" width="13" style="2" customWidth="1"/>
    <col min="3" max="3" width="10" style="2" bestFit="1" customWidth="1"/>
    <col min="4" max="4" width="14.4140625" style="2" customWidth="1"/>
    <col min="5" max="5" width="8.83203125" style="2" customWidth="1"/>
    <col min="6" max="6" width="9.08203125" style="2" customWidth="1"/>
    <col min="7" max="7" width="16.33203125" style="2" customWidth="1"/>
    <col min="8" max="9" width="9" style="2"/>
    <col min="10" max="10" width="9" style="31"/>
    <col min="11" max="16384" width="9" style="2"/>
  </cols>
  <sheetData>
    <row r="1" spans="1:10" x14ac:dyDescent="0.35">
      <c r="J1" s="3" t="s">
        <v>15</v>
      </c>
    </row>
    <row r="2" spans="1:10" ht="18" x14ac:dyDescent="0.4">
      <c r="A2" s="4" t="s">
        <v>89</v>
      </c>
      <c r="J2" s="29"/>
    </row>
    <row r="3" spans="1:10" x14ac:dyDescent="0.35">
      <c r="A3" s="5" t="s">
        <v>7</v>
      </c>
      <c r="J3" s="29"/>
    </row>
    <row r="4" spans="1:10" x14ac:dyDescent="0.35">
      <c r="J4" s="29"/>
    </row>
    <row r="5" spans="1:10" x14ac:dyDescent="0.35">
      <c r="D5" s="7" t="s">
        <v>53</v>
      </c>
      <c r="J5" s="29"/>
    </row>
    <row r="6" spans="1:10" x14ac:dyDescent="0.35">
      <c r="A6" s="9"/>
      <c r="B6" s="9"/>
      <c r="C6" s="9"/>
      <c r="D6" s="9"/>
      <c r="E6" s="9"/>
      <c r="F6" s="9"/>
      <c r="G6" s="9"/>
      <c r="H6" s="9"/>
      <c r="I6" s="9"/>
      <c r="J6" s="29"/>
    </row>
    <row r="7" spans="1:10" ht="16" thickBot="1" x14ac:dyDescent="0.4">
      <c r="B7" s="103" t="s">
        <v>10</v>
      </c>
      <c r="C7" s="103"/>
      <c r="E7" s="103" t="s">
        <v>5</v>
      </c>
      <c r="F7" s="103"/>
      <c r="H7" s="103" t="s">
        <v>11</v>
      </c>
      <c r="I7" s="103"/>
      <c r="J7" s="30"/>
    </row>
    <row r="8" spans="1:10" x14ac:dyDescent="0.35">
      <c r="A8" s="8" t="s">
        <v>54</v>
      </c>
      <c r="B8" s="10">
        <v>450000</v>
      </c>
      <c r="C8" s="8"/>
      <c r="E8" s="11"/>
      <c r="F8" s="68">
        <f>B8*0.02</f>
        <v>9000</v>
      </c>
      <c r="G8" s="8" t="s">
        <v>54</v>
      </c>
      <c r="H8" s="13"/>
      <c r="I8" s="14"/>
      <c r="J8" s="29"/>
    </row>
    <row r="9" spans="1:10" x14ac:dyDescent="0.35">
      <c r="A9" s="50" t="s">
        <v>91</v>
      </c>
      <c r="B9" s="51">
        <f>B14+C10+C12-B8</f>
        <v>562000</v>
      </c>
      <c r="C9" s="8"/>
      <c r="E9" s="15"/>
      <c r="F9" s="12"/>
      <c r="H9" s="15">
        <f>F10</f>
        <v>9000</v>
      </c>
      <c r="I9" s="16"/>
      <c r="J9" s="29"/>
    </row>
    <row r="10" spans="1:10" x14ac:dyDescent="0.35">
      <c r="A10" s="8"/>
      <c r="B10" s="17"/>
      <c r="C10" s="25">
        <v>700000</v>
      </c>
      <c r="D10" s="26" t="s">
        <v>13</v>
      </c>
      <c r="E10" s="15"/>
      <c r="F10" s="12">
        <f>F14-F8+E12</f>
        <v>9000</v>
      </c>
      <c r="G10" s="18"/>
      <c r="H10" s="19"/>
      <c r="I10" s="16"/>
      <c r="J10" s="29"/>
    </row>
    <row r="11" spans="1:10" x14ac:dyDescent="0.35">
      <c r="A11" s="8"/>
      <c r="B11" s="17"/>
      <c r="C11" s="12"/>
      <c r="D11" s="8"/>
      <c r="E11" s="15"/>
      <c r="F11" s="12"/>
      <c r="H11" s="20"/>
      <c r="I11" s="16"/>
      <c r="J11" s="29"/>
    </row>
    <row r="12" spans="1:10" ht="16" thickBot="1" x14ac:dyDescent="0.4">
      <c r="A12" s="8"/>
      <c r="B12" s="21"/>
      <c r="C12" s="12">
        <f>E12</f>
        <v>12000</v>
      </c>
      <c r="D12" s="22" t="s">
        <v>12</v>
      </c>
      <c r="E12" s="12">
        <v>12000</v>
      </c>
      <c r="F12" s="23"/>
      <c r="H12" s="17"/>
      <c r="J12" s="29">
        <v>6</v>
      </c>
    </row>
    <row r="13" spans="1:10" x14ac:dyDescent="0.35">
      <c r="A13" s="8"/>
      <c r="B13" s="17"/>
      <c r="C13" s="8"/>
      <c r="E13" s="15"/>
      <c r="F13" s="12"/>
      <c r="H13" s="19"/>
      <c r="J13" s="29"/>
    </row>
    <row r="14" spans="1:10" x14ac:dyDescent="0.35">
      <c r="A14" s="8" t="s">
        <v>55</v>
      </c>
      <c r="B14" s="10">
        <v>300000</v>
      </c>
      <c r="C14" s="8"/>
      <c r="E14" s="15"/>
      <c r="F14" s="12">
        <v>6000</v>
      </c>
      <c r="G14" s="8" t="s">
        <v>55</v>
      </c>
      <c r="H14" s="19"/>
      <c r="J14" s="29"/>
    </row>
    <row r="15" spans="1:10" x14ac:dyDescent="0.35">
      <c r="A15" s="9"/>
      <c r="B15" s="9"/>
      <c r="C15" s="9"/>
      <c r="D15" s="9"/>
      <c r="E15" s="12"/>
      <c r="F15" s="12"/>
      <c r="G15" s="8"/>
      <c r="H15" s="9"/>
      <c r="I15" s="9"/>
      <c r="J15" s="29"/>
    </row>
    <row r="16" spans="1:10" x14ac:dyDescent="0.35">
      <c r="A16" s="5" t="s">
        <v>6</v>
      </c>
      <c r="B16" s="9"/>
      <c r="C16" s="9"/>
      <c r="D16" s="9"/>
      <c r="E16" s="12"/>
      <c r="F16" s="12"/>
      <c r="G16" s="8"/>
      <c r="H16" s="9"/>
      <c r="I16" s="9"/>
      <c r="J16" s="29"/>
    </row>
    <row r="17" spans="1:10" x14ac:dyDescent="0.35">
      <c r="A17" s="2" t="s">
        <v>90</v>
      </c>
      <c r="B17" s="1">
        <f>B9</f>
        <v>562000</v>
      </c>
      <c r="C17" s="9"/>
      <c r="D17" s="9"/>
      <c r="E17" s="12"/>
      <c r="F17" s="12"/>
      <c r="G17" s="8"/>
      <c r="H17" s="9"/>
      <c r="I17" s="9"/>
      <c r="J17" s="29">
        <v>3</v>
      </c>
    </row>
    <row r="18" spans="1:10" x14ac:dyDescent="0.35">
      <c r="A18" s="9"/>
      <c r="B18" s="9"/>
      <c r="C18" s="9"/>
      <c r="D18" s="9"/>
      <c r="E18" s="12"/>
      <c r="F18" s="12"/>
      <c r="G18" s="8"/>
      <c r="H18" s="9"/>
      <c r="I18" s="9"/>
      <c r="J18" s="29"/>
    </row>
    <row r="19" spans="1:10" x14ac:dyDescent="0.35">
      <c r="A19" s="5" t="s">
        <v>7</v>
      </c>
      <c r="B19" s="9"/>
      <c r="C19" s="9"/>
      <c r="D19" s="9"/>
      <c r="E19" s="12"/>
      <c r="F19" s="12"/>
      <c r="G19" s="8"/>
      <c r="H19" s="9"/>
      <c r="I19" s="9"/>
      <c r="J19" s="29"/>
    </row>
    <row r="20" spans="1:10" x14ac:dyDescent="0.35">
      <c r="A20" s="2" t="s">
        <v>56</v>
      </c>
      <c r="B20" s="1">
        <f>H9</f>
        <v>9000</v>
      </c>
      <c r="C20" s="9"/>
      <c r="D20" s="9"/>
      <c r="E20" s="12"/>
      <c r="F20" s="12"/>
      <c r="G20" s="8"/>
      <c r="H20" s="9"/>
      <c r="I20" s="9"/>
      <c r="J20" s="29">
        <v>3</v>
      </c>
    </row>
    <row r="21" spans="1:10" x14ac:dyDescent="0.35">
      <c r="A21" s="2" t="s">
        <v>92</v>
      </c>
      <c r="B21" s="1">
        <f>B20</f>
        <v>9000</v>
      </c>
      <c r="C21" s="9"/>
      <c r="D21" s="9"/>
      <c r="E21" s="12"/>
      <c r="F21" s="12"/>
      <c r="G21" s="8"/>
      <c r="H21" s="9"/>
      <c r="I21" s="9"/>
      <c r="J21" s="29"/>
    </row>
    <row r="22" spans="1:10" x14ac:dyDescent="0.35">
      <c r="A22" s="9"/>
      <c r="B22" s="9"/>
      <c r="C22" s="9"/>
      <c r="D22" s="9"/>
      <c r="E22" s="12"/>
      <c r="F22" s="12"/>
      <c r="G22" s="8"/>
      <c r="H22" s="9"/>
      <c r="I22" s="9"/>
      <c r="J22" s="29"/>
    </row>
    <row r="23" spans="1:10" x14ac:dyDescent="0.35">
      <c r="B23" s="28"/>
      <c r="E23" s="8"/>
      <c r="F23" s="8"/>
      <c r="G23" s="8"/>
      <c r="J23" s="29"/>
    </row>
    <row r="24" spans="1:10" x14ac:dyDescent="0.35">
      <c r="D24" s="38"/>
      <c r="E24" s="69"/>
      <c r="F24" s="52"/>
      <c r="J24" s="29"/>
    </row>
    <row r="25" spans="1:10" x14ac:dyDescent="0.35">
      <c r="A25" s="5" t="s">
        <v>8</v>
      </c>
      <c r="E25" s="1"/>
      <c r="F25" s="52"/>
      <c r="J25" s="29"/>
    </row>
    <row r="26" spans="1:10" x14ac:dyDescent="0.35">
      <c r="A26" s="53" t="s">
        <v>94</v>
      </c>
      <c r="B26" s="54">
        <f>562000/0.8</f>
        <v>702500</v>
      </c>
      <c r="C26" s="52"/>
      <c r="D26" s="2" t="s">
        <v>95</v>
      </c>
      <c r="E26" s="1"/>
      <c r="F26" s="52"/>
      <c r="J26" s="29"/>
    </row>
    <row r="27" spans="1:10" x14ac:dyDescent="0.35">
      <c r="A27" s="2" t="s">
        <v>93</v>
      </c>
      <c r="B27" s="70">
        <v>-602500</v>
      </c>
      <c r="C27" s="52"/>
      <c r="J27" s="29"/>
    </row>
    <row r="28" spans="1:10" x14ac:dyDescent="0.35">
      <c r="A28" s="2" t="s">
        <v>1</v>
      </c>
      <c r="B28" s="1">
        <f>SUM(B26:B27)</f>
        <v>100000</v>
      </c>
      <c r="C28" s="52"/>
      <c r="J28" s="29">
        <v>4</v>
      </c>
    </row>
    <row r="29" spans="1:10" x14ac:dyDescent="0.35">
      <c r="J29" s="29"/>
    </row>
    <row r="30" spans="1:10" x14ac:dyDescent="0.35">
      <c r="A30" s="5" t="s">
        <v>9</v>
      </c>
      <c r="J30" s="29"/>
    </row>
    <row r="31" spans="1:10" x14ac:dyDescent="0.35">
      <c r="A31" s="2" t="s">
        <v>96</v>
      </c>
      <c r="J31" s="29">
        <v>1</v>
      </c>
    </row>
    <row r="32" spans="1:10" x14ac:dyDescent="0.35">
      <c r="J32" s="29"/>
    </row>
    <row r="33" spans="1:10" x14ac:dyDescent="0.35">
      <c r="A33" s="2" t="s">
        <v>97</v>
      </c>
      <c r="C33" s="27"/>
      <c r="J33" s="29"/>
    </row>
    <row r="34" spans="1:10" x14ac:dyDescent="0.35">
      <c r="A34" s="2" t="s">
        <v>99</v>
      </c>
      <c r="B34" s="1"/>
      <c r="J34" s="29"/>
    </row>
    <row r="35" spans="1:10" x14ac:dyDescent="0.35">
      <c r="A35" s="2" t="s">
        <v>98</v>
      </c>
      <c r="B35" s="1"/>
      <c r="J35" s="102">
        <v>3</v>
      </c>
    </row>
    <row r="36" spans="1:10" x14ac:dyDescent="0.35">
      <c r="B36" s="1"/>
      <c r="J36" s="29"/>
    </row>
    <row r="37" spans="1:10" x14ac:dyDescent="0.35">
      <c r="J37" s="29"/>
    </row>
    <row r="38" spans="1:10" x14ac:dyDescent="0.35">
      <c r="J38" s="29">
        <f>SUM(J2:J36)</f>
        <v>20</v>
      </c>
    </row>
    <row r="39" spans="1:10" x14ac:dyDescent="0.35">
      <c r="J39" s="29"/>
    </row>
  </sheetData>
  <mergeCells count="3">
    <mergeCell ref="B7:C7"/>
    <mergeCell ref="E7:F7"/>
    <mergeCell ref="H7:I7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rightToLeft="1" topLeftCell="A38" workbookViewId="0">
      <selection activeCell="D44" sqref="D44"/>
    </sheetView>
  </sheetViews>
  <sheetFormatPr defaultRowHeight="15.5" x14ac:dyDescent="0.35"/>
  <cols>
    <col min="1" max="1" width="14.33203125" style="60" customWidth="1"/>
    <col min="2" max="2" width="15.6640625" style="64" customWidth="1"/>
    <col min="3" max="3" width="11.08203125" style="64" customWidth="1"/>
    <col min="4" max="4" width="26.08203125" style="60" customWidth="1"/>
    <col min="5" max="6" width="8.6640625" style="60"/>
    <col min="7" max="7" width="8.6640625" style="67"/>
    <col min="8" max="16384" width="8.6640625" style="60"/>
  </cols>
  <sheetData>
    <row r="1" spans="1:7" x14ac:dyDescent="0.35">
      <c r="G1" s="67" t="s">
        <v>15</v>
      </c>
    </row>
    <row r="2" spans="1:7" x14ac:dyDescent="0.35">
      <c r="B2" s="62" t="s">
        <v>100</v>
      </c>
    </row>
    <row r="3" spans="1:7" x14ac:dyDescent="0.35">
      <c r="A3" s="61" t="s">
        <v>101</v>
      </c>
    </row>
    <row r="4" spans="1:7" x14ac:dyDescent="0.35">
      <c r="A4" s="61" t="s">
        <v>102</v>
      </c>
    </row>
    <row r="5" spans="1:7" x14ac:dyDescent="0.35">
      <c r="A5" s="60" t="s">
        <v>57</v>
      </c>
      <c r="B5" s="64">
        <v>20000</v>
      </c>
    </row>
    <row r="6" spans="1:7" ht="18.5" x14ac:dyDescent="0.65">
      <c r="A6" s="60" t="s">
        <v>58</v>
      </c>
      <c r="B6" s="65">
        <f>-12000</f>
        <v>-12000</v>
      </c>
      <c r="D6" s="60" t="s">
        <v>112</v>
      </c>
    </row>
    <row r="7" spans="1:7" x14ac:dyDescent="0.35">
      <c r="A7" s="60" t="s">
        <v>59</v>
      </c>
      <c r="B7" s="64">
        <f>SUM(B5:B6)</f>
        <v>8000</v>
      </c>
      <c r="G7" s="67">
        <v>3</v>
      </c>
    </row>
    <row r="9" spans="1:7" x14ac:dyDescent="0.35">
      <c r="A9" s="60" t="s">
        <v>60</v>
      </c>
      <c r="B9" s="64">
        <v>6500</v>
      </c>
    </row>
    <row r="10" spans="1:7" ht="18.5" x14ac:dyDescent="0.65">
      <c r="A10" s="60" t="s">
        <v>59</v>
      </c>
      <c r="B10" s="65">
        <f>-B7</f>
        <v>-8000</v>
      </c>
    </row>
    <row r="11" spans="1:7" x14ac:dyDescent="0.35">
      <c r="A11" s="60" t="s">
        <v>61</v>
      </c>
      <c r="B11" s="64">
        <f>SUM(B9:B10)</f>
        <v>-1500</v>
      </c>
      <c r="G11" s="67">
        <v>3</v>
      </c>
    </row>
    <row r="12" spans="1:7" x14ac:dyDescent="0.35">
      <c r="A12" s="61"/>
    </row>
    <row r="13" spans="1:7" x14ac:dyDescent="0.35">
      <c r="A13" s="61" t="s">
        <v>104</v>
      </c>
    </row>
    <row r="14" spans="1:7" x14ac:dyDescent="0.35">
      <c r="A14" s="61"/>
    </row>
    <row r="15" spans="1:7" x14ac:dyDescent="0.35">
      <c r="A15" s="60" t="s">
        <v>108</v>
      </c>
      <c r="B15" s="64">
        <v>3000</v>
      </c>
      <c r="D15" s="60" t="s">
        <v>111</v>
      </c>
      <c r="G15" s="67">
        <v>3</v>
      </c>
    </row>
    <row r="16" spans="1:7" ht="18.5" x14ac:dyDescent="0.65">
      <c r="A16" s="60" t="s">
        <v>109</v>
      </c>
      <c r="B16" s="65">
        <v>18000</v>
      </c>
      <c r="D16" s="60" t="s">
        <v>110</v>
      </c>
      <c r="G16" s="67">
        <v>2</v>
      </c>
    </row>
    <row r="17" spans="1:7" x14ac:dyDescent="0.35">
      <c r="A17" s="61"/>
      <c r="B17" s="64">
        <f>SUM(B15:B16)</f>
        <v>21000</v>
      </c>
    </row>
    <row r="18" spans="1:7" x14ac:dyDescent="0.35">
      <c r="A18" s="61"/>
    </row>
    <row r="19" spans="1:7" x14ac:dyDescent="0.35">
      <c r="A19" s="61" t="s">
        <v>113</v>
      </c>
    </row>
    <row r="20" spans="1:7" x14ac:dyDescent="0.35">
      <c r="A20" s="61"/>
    </row>
    <row r="21" spans="1:7" x14ac:dyDescent="0.35">
      <c r="A21" s="60" t="s">
        <v>114</v>
      </c>
    </row>
    <row r="22" spans="1:7" x14ac:dyDescent="0.35">
      <c r="A22" s="60" t="s">
        <v>115</v>
      </c>
    </row>
    <row r="23" spans="1:7" x14ac:dyDescent="0.35">
      <c r="A23" s="61"/>
    </row>
    <row r="24" spans="1:7" x14ac:dyDescent="0.35">
      <c r="A24" s="60" t="s">
        <v>117</v>
      </c>
      <c r="E24" s="71">
        <v>0.33333333333333331</v>
      </c>
    </row>
    <row r="25" spans="1:7" x14ac:dyDescent="0.35">
      <c r="A25" s="60" t="s">
        <v>116</v>
      </c>
      <c r="E25" s="71">
        <v>0.5</v>
      </c>
      <c r="G25" s="67">
        <v>4</v>
      </c>
    </row>
    <row r="26" spans="1:7" x14ac:dyDescent="0.35">
      <c r="A26" s="61"/>
    </row>
    <row r="27" spans="1:7" x14ac:dyDescent="0.35">
      <c r="A27" s="61" t="s">
        <v>104</v>
      </c>
    </row>
    <row r="28" spans="1:7" x14ac:dyDescent="0.35">
      <c r="A28" s="61" t="s">
        <v>105</v>
      </c>
      <c r="B28" s="66"/>
    </row>
    <row r="30" spans="1:7" x14ac:dyDescent="0.35">
      <c r="D30" s="60" t="s">
        <v>145</v>
      </c>
      <c r="G30" s="67">
        <v>4</v>
      </c>
    </row>
    <row r="31" spans="1:7" x14ac:dyDescent="0.35">
      <c r="D31" s="60" t="s">
        <v>103</v>
      </c>
    </row>
    <row r="33" spans="1:7" x14ac:dyDescent="0.35">
      <c r="A33" s="61" t="s">
        <v>106</v>
      </c>
      <c r="B33" s="66"/>
    </row>
    <row r="34" spans="1:7" x14ac:dyDescent="0.35">
      <c r="A34" s="63"/>
    </row>
    <row r="35" spans="1:7" x14ac:dyDescent="0.35">
      <c r="C35" s="64">
        <v>112500</v>
      </c>
      <c r="D35" s="60" t="s">
        <v>146</v>
      </c>
    </row>
    <row r="36" spans="1:7" ht="18.5" x14ac:dyDescent="0.65">
      <c r="C36" s="65"/>
      <c r="G36" s="67">
        <v>3</v>
      </c>
    </row>
    <row r="38" spans="1:7" x14ac:dyDescent="0.35">
      <c r="A38" s="61" t="s">
        <v>107</v>
      </c>
    </row>
    <row r="39" spans="1:7" x14ac:dyDescent="0.35">
      <c r="A39" s="61"/>
    </row>
    <row r="40" spans="1:7" x14ac:dyDescent="0.35">
      <c r="A40" s="60" t="s">
        <v>57</v>
      </c>
      <c r="B40" s="64">
        <v>500000</v>
      </c>
    </row>
    <row r="41" spans="1:7" ht="18.5" x14ac:dyDescent="0.65">
      <c r="A41" s="60" t="s">
        <v>58</v>
      </c>
      <c r="B41" s="65">
        <v>-500000</v>
      </c>
      <c r="G41" s="67">
        <v>2</v>
      </c>
    </row>
    <row r="42" spans="1:7" x14ac:dyDescent="0.35">
      <c r="A42" s="60" t="s">
        <v>59</v>
      </c>
      <c r="B42" s="64">
        <f>SUM(B40:B41)</f>
        <v>0</v>
      </c>
      <c r="D42" s="60" t="s">
        <v>147</v>
      </c>
    </row>
    <row r="44" spans="1:7" x14ac:dyDescent="0.35">
      <c r="A44" s="61" t="s">
        <v>118</v>
      </c>
    </row>
    <row r="45" spans="1:7" x14ac:dyDescent="0.35">
      <c r="G45" s="67">
        <v>1</v>
      </c>
    </row>
    <row r="46" spans="1:7" x14ac:dyDescent="0.35">
      <c r="A46" s="100" t="s">
        <v>141</v>
      </c>
    </row>
    <row r="47" spans="1:7" x14ac:dyDescent="0.35">
      <c r="A47" s="60" t="s">
        <v>142</v>
      </c>
    </row>
    <row r="48" spans="1:7" x14ac:dyDescent="0.35">
      <c r="A48" s="60" t="s">
        <v>139</v>
      </c>
      <c r="G48" s="67">
        <v>3</v>
      </c>
    </row>
    <row r="49" spans="1:7" x14ac:dyDescent="0.35">
      <c r="A49" s="60" t="s">
        <v>140</v>
      </c>
    </row>
    <row r="52" spans="1:7" x14ac:dyDescent="0.35">
      <c r="F52" s="60" t="s">
        <v>62</v>
      </c>
      <c r="G52" s="67">
        <f>SUM(G3:G50)</f>
        <v>28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rightToLeft="1" tabSelected="1" topLeftCell="A46" workbookViewId="0">
      <selection activeCell="A57" sqref="A57"/>
    </sheetView>
  </sheetViews>
  <sheetFormatPr defaultColWidth="9" defaultRowHeight="15.5" x14ac:dyDescent="0.35"/>
  <cols>
    <col min="1" max="1" width="20.5" style="2" customWidth="1"/>
    <col min="2" max="2" width="18.5" style="2" customWidth="1"/>
    <col min="3" max="4" width="14.75" style="2" customWidth="1"/>
    <col min="5" max="5" width="14" style="67" customWidth="1"/>
    <col min="6" max="6" width="16.5" style="2" customWidth="1"/>
    <col min="7" max="16384" width="9" style="2"/>
  </cols>
  <sheetData>
    <row r="1" spans="1:9" ht="18" x14ac:dyDescent="0.4">
      <c r="A1" s="4" t="s">
        <v>101</v>
      </c>
      <c r="E1" s="93" t="s">
        <v>15</v>
      </c>
    </row>
    <row r="2" spans="1:9" x14ac:dyDescent="0.35">
      <c r="A2" s="104" t="s">
        <v>131</v>
      </c>
      <c r="B2" s="104"/>
      <c r="C2" s="104"/>
      <c r="D2" s="86"/>
    </row>
    <row r="3" spans="1:9" x14ac:dyDescent="0.35">
      <c r="A3" s="101" t="s">
        <v>143</v>
      </c>
      <c r="B3" s="101"/>
      <c r="C3" s="101">
        <v>500</v>
      </c>
      <c r="D3" s="101" t="s">
        <v>144</v>
      </c>
    </row>
    <row r="4" spans="1:9" x14ac:dyDescent="0.35">
      <c r="A4" s="2" t="s">
        <v>130</v>
      </c>
      <c r="C4" s="1">
        <v>440</v>
      </c>
      <c r="D4" s="1"/>
      <c r="E4" s="94">
        <v>2</v>
      </c>
    </row>
    <row r="5" spans="1:9" x14ac:dyDescent="0.35">
      <c r="C5" s="1"/>
      <c r="D5" s="1"/>
      <c r="E5" s="93"/>
    </row>
    <row r="6" spans="1:9" x14ac:dyDescent="0.35">
      <c r="A6" s="2" t="s">
        <v>119</v>
      </c>
      <c r="C6" s="1"/>
      <c r="D6" s="1"/>
      <c r="E6" s="93"/>
    </row>
    <row r="7" spans="1:9" x14ac:dyDescent="0.35">
      <c r="A7" s="70" t="s">
        <v>62</v>
      </c>
      <c r="B7" s="70" t="s">
        <v>120</v>
      </c>
      <c r="C7" s="70" t="s">
        <v>121</v>
      </c>
      <c r="D7" s="70"/>
      <c r="G7" s="1"/>
      <c r="H7" s="1"/>
      <c r="I7" s="1"/>
    </row>
    <row r="8" spans="1:9" x14ac:dyDescent="0.35">
      <c r="A8" s="1">
        <f>C8*B8</f>
        <v>2160</v>
      </c>
      <c r="B8" s="1">
        <v>24</v>
      </c>
      <c r="C8" s="1">
        <v>90</v>
      </c>
      <c r="D8" s="1"/>
    </row>
    <row r="9" spans="1:9" x14ac:dyDescent="0.35">
      <c r="A9" s="1">
        <f t="shared" ref="A9:A11" si="0">C9*B9</f>
        <v>2000</v>
      </c>
      <c r="B9" s="1">
        <v>25</v>
      </c>
      <c r="C9" s="1">
        <v>80</v>
      </c>
      <c r="D9" s="1"/>
    </row>
    <row r="10" spans="1:9" x14ac:dyDescent="0.35">
      <c r="A10" s="1">
        <f t="shared" si="0"/>
        <v>4620</v>
      </c>
      <c r="B10" s="1">
        <v>22</v>
      </c>
      <c r="C10" s="1">
        <v>210</v>
      </c>
      <c r="D10" s="1"/>
    </row>
    <row r="11" spans="1:9" x14ac:dyDescent="0.35">
      <c r="A11" s="70">
        <f t="shared" si="0"/>
        <v>1200</v>
      </c>
      <c r="B11" s="72">
        <v>20</v>
      </c>
      <c r="C11" s="73">
        <v>60</v>
      </c>
      <c r="D11" s="73"/>
    </row>
    <row r="12" spans="1:9" x14ac:dyDescent="0.35">
      <c r="A12" s="32">
        <f>SUM(A8:A11)</f>
        <v>9980</v>
      </c>
      <c r="B12" s="69"/>
      <c r="C12" s="1">
        <f>SUM(C8:C11)</f>
        <v>440</v>
      </c>
      <c r="D12" s="1"/>
      <c r="E12" s="94">
        <v>2</v>
      </c>
    </row>
    <row r="13" spans="1:9" x14ac:dyDescent="0.35">
      <c r="A13" s="1"/>
      <c r="B13" s="69"/>
      <c r="C13" s="1"/>
      <c r="D13" s="1"/>
      <c r="E13" s="94"/>
    </row>
    <row r="14" spans="1:9" x14ac:dyDescent="0.35">
      <c r="A14" s="88" t="s">
        <v>122</v>
      </c>
      <c r="B14" s="89"/>
      <c r="C14" s="88">
        <f>440*24</f>
        <v>10560</v>
      </c>
      <c r="D14" s="1" t="s">
        <v>132</v>
      </c>
      <c r="E14" s="94"/>
    </row>
    <row r="15" spans="1:9" x14ac:dyDescent="0.35">
      <c r="A15" s="2" t="s">
        <v>133</v>
      </c>
      <c r="B15" s="1"/>
      <c r="C15" s="1"/>
      <c r="D15" s="1"/>
      <c r="E15" s="95"/>
      <c r="G15" s="1"/>
      <c r="H15" s="1"/>
      <c r="I15" s="1"/>
    </row>
    <row r="16" spans="1:9" x14ac:dyDescent="0.35">
      <c r="B16" s="1"/>
      <c r="C16" s="1"/>
      <c r="D16" s="1"/>
      <c r="E16" s="95"/>
      <c r="G16" s="1"/>
      <c r="H16" s="1"/>
      <c r="I16" s="1"/>
    </row>
    <row r="17" spans="1:9" x14ac:dyDescent="0.35">
      <c r="A17" s="90" t="s">
        <v>134</v>
      </c>
      <c r="B17" s="91"/>
      <c r="C17" s="92"/>
      <c r="D17" s="76"/>
      <c r="E17" s="95"/>
      <c r="G17" s="1"/>
      <c r="H17" s="1"/>
      <c r="I17" s="1"/>
    </row>
    <row r="18" spans="1:9" x14ac:dyDescent="0.35">
      <c r="A18" s="76"/>
      <c r="B18" s="76"/>
      <c r="C18" s="76">
        <f>A12</f>
        <v>9980</v>
      </c>
      <c r="D18" s="76"/>
      <c r="E18" s="95"/>
      <c r="G18" s="1"/>
      <c r="H18" s="1"/>
      <c r="I18" s="1"/>
    </row>
    <row r="19" spans="1:9" s="5" customFormat="1" x14ac:dyDescent="0.35">
      <c r="A19" s="6" t="s">
        <v>135</v>
      </c>
      <c r="B19" s="70"/>
      <c r="C19" s="77"/>
      <c r="D19" s="77"/>
      <c r="E19" s="96"/>
      <c r="G19" s="77"/>
      <c r="H19" s="77"/>
      <c r="I19" s="77"/>
    </row>
    <row r="20" spans="1:9" x14ac:dyDescent="0.35">
      <c r="A20" s="70" t="s">
        <v>62</v>
      </c>
      <c r="B20" s="70" t="s">
        <v>120</v>
      </c>
      <c r="C20" s="70" t="s">
        <v>121</v>
      </c>
      <c r="D20" s="70"/>
      <c r="E20" s="95"/>
      <c r="G20" s="1"/>
      <c r="H20" s="1"/>
      <c r="I20" s="1"/>
    </row>
    <row r="21" spans="1:9" x14ac:dyDescent="0.35">
      <c r="A21" s="1">
        <f>C21*B21</f>
        <v>4620</v>
      </c>
      <c r="B21" s="1">
        <v>22</v>
      </c>
      <c r="C21" s="1">
        <v>210</v>
      </c>
      <c r="D21" s="1"/>
      <c r="E21" s="95"/>
      <c r="G21" s="1"/>
      <c r="H21" s="1"/>
      <c r="I21" s="1"/>
    </row>
    <row r="22" spans="1:9" x14ac:dyDescent="0.35">
      <c r="A22" s="1">
        <f t="shared" ref="A22:A23" si="1">C22*B22</f>
        <v>2000</v>
      </c>
      <c r="B22" s="1">
        <v>25</v>
      </c>
      <c r="C22" s="1">
        <v>80</v>
      </c>
      <c r="D22" s="1"/>
      <c r="E22" s="95"/>
      <c r="G22" s="1"/>
      <c r="H22" s="1"/>
      <c r="I22" s="1"/>
    </row>
    <row r="23" spans="1:9" x14ac:dyDescent="0.35">
      <c r="A23" s="70">
        <f t="shared" si="1"/>
        <v>2160</v>
      </c>
      <c r="B23" s="1">
        <v>24</v>
      </c>
      <c r="C23" s="70">
        <v>90</v>
      </c>
      <c r="D23" s="1"/>
      <c r="E23" s="95"/>
      <c r="G23" s="1"/>
      <c r="H23" s="1"/>
      <c r="I23" s="1"/>
    </row>
    <row r="24" spans="1:9" x14ac:dyDescent="0.35">
      <c r="A24" s="1">
        <f>SUM(A21:A23)</f>
        <v>8780</v>
      </c>
      <c r="B24" s="1"/>
      <c r="C24" s="1">
        <f>SUM(C21:C23)</f>
        <v>380</v>
      </c>
      <c r="D24" s="1"/>
      <c r="E24" s="94">
        <v>2</v>
      </c>
      <c r="H24" s="1"/>
      <c r="I24" s="1"/>
    </row>
    <row r="25" spans="1:9" x14ac:dyDescent="0.35">
      <c r="A25" s="5"/>
      <c r="B25" s="1"/>
      <c r="C25" s="1"/>
      <c r="D25" s="1"/>
      <c r="H25" s="1"/>
      <c r="I25" s="1"/>
    </row>
    <row r="26" spans="1:9" x14ac:dyDescent="0.35">
      <c r="A26" s="77" t="s">
        <v>136</v>
      </c>
      <c r="B26" s="1"/>
      <c r="C26" s="1"/>
      <c r="D26" s="1"/>
      <c r="H26" s="1"/>
      <c r="I26" s="1"/>
    </row>
    <row r="27" spans="1:9" x14ac:dyDescent="0.35">
      <c r="A27" s="1" t="s">
        <v>0</v>
      </c>
      <c r="B27" s="78">
        <v>10000</v>
      </c>
      <c r="C27" s="1"/>
      <c r="D27" s="1"/>
      <c r="H27" s="1"/>
      <c r="I27" s="1"/>
    </row>
    <row r="28" spans="1:9" x14ac:dyDescent="0.35">
      <c r="A28" s="1" t="s">
        <v>14</v>
      </c>
      <c r="B28" s="78">
        <f>A24</f>
        <v>8780</v>
      </c>
      <c r="C28" s="1"/>
      <c r="D28" s="1"/>
      <c r="H28" s="1"/>
      <c r="I28" s="1"/>
    </row>
    <row r="29" spans="1:9" x14ac:dyDescent="0.35">
      <c r="A29" s="1" t="s">
        <v>124</v>
      </c>
      <c r="B29" s="79">
        <f>-A12</f>
        <v>-9980</v>
      </c>
      <c r="C29" s="1"/>
      <c r="D29" s="1"/>
      <c r="E29" s="94">
        <v>2</v>
      </c>
    </row>
    <row r="30" spans="1:9" x14ac:dyDescent="0.35">
      <c r="A30" s="1"/>
      <c r="B30" s="80">
        <f>SUM(B27:B29)</f>
        <v>8800</v>
      </c>
      <c r="C30" s="1"/>
      <c r="D30" s="1"/>
      <c r="G30" s="1"/>
      <c r="H30" s="1"/>
      <c r="I30" s="1"/>
    </row>
    <row r="31" spans="1:9" x14ac:dyDescent="0.35">
      <c r="A31" s="5"/>
      <c r="B31" s="1"/>
      <c r="C31" s="1"/>
      <c r="D31" s="1"/>
      <c r="E31" s="95"/>
      <c r="G31" s="1"/>
      <c r="H31" s="1"/>
      <c r="I31" s="1"/>
    </row>
    <row r="32" spans="1:9" x14ac:dyDescent="0.35">
      <c r="A32" s="104" t="s">
        <v>125</v>
      </c>
      <c r="B32" s="104"/>
      <c r="C32" s="104"/>
      <c r="D32" s="86"/>
      <c r="E32" s="95"/>
      <c r="G32" s="1"/>
      <c r="H32" s="1"/>
      <c r="I32" s="1"/>
    </row>
    <row r="33" spans="1:9" x14ac:dyDescent="0.35">
      <c r="A33" s="5"/>
      <c r="B33" s="1"/>
      <c r="C33" s="1"/>
      <c r="D33" s="1"/>
      <c r="E33" s="95"/>
      <c r="G33" s="1"/>
      <c r="H33" s="1"/>
      <c r="I33" s="1"/>
    </row>
    <row r="34" spans="1:9" x14ac:dyDescent="0.35">
      <c r="A34" s="70" t="s">
        <v>137</v>
      </c>
      <c r="B34" s="70"/>
      <c r="C34" s="38"/>
      <c r="D34" s="38"/>
      <c r="G34" s="1"/>
      <c r="H34" s="1"/>
      <c r="I34" s="1"/>
    </row>
    <row r="35" spans="1:9" x14ac:dyDescent="0.35">
      <c r="A35" s="1"/>
      <c r="B35" s="1"/>
      <c r="C35" s="1"/>
      <c r="D35" s="1"/>
      <c r="E35" s="95"/>
      <c r="G35" s="1"/>
      <c r="H35" s="1"/>
      <c r="I35" s="1"/>
    </row>
    <row r="36" spans="1:9" x14ac:dyDescent="0.35">
      <c r="A36" s="70"/>
      <c r="B36" s="70"/>
      <c r="C36" s="70"/>
      <c r="D36" s="70"/>
      <c r="E36" s="96"/>
      <c r="G36" s="1"/>
      <c r="H36" s="1"/>
      <c r="I36" s="1"/>
    </row>
    <row r="37" spans="1:9" x14ac:dyDescent="0.35">
      <c r="A37" s="1" t="s">
        <v>126</v>
      </c>
      <c r="B37" s="81">
        <f>C37/C38</f>
        <v>21.34090909090909</v>
      </c>
      <c r="C37" s="82">
        <f>B28+B27</f>
        <v>18780</v>
      </c>
      <c r="D37" s="87"/>
      <c r="E37" s="95"/>
      <c r="G37" s="1"/>
      <c r="H37" s="1"/>
      <c r="I37" s="1"/>
    </row>
    <row r="38" spans="1:9" x14ac:dyDescent="0.35">
      <c r="C38" s="1">
        <v>880</v>
      </c>
      <c r="D38" s="1"/>
      <c r="E38" s="95"/>
      <c r="G38" s="1"/>
      <c r="H38" s="1"/>
      <c r="I38" s="1"/>
    </row>
    <row r="39" spans="1:9" x14ac:dyDescent="0.35">
      <c r="A39" s="1" t="s">
        <v>127</v>
      </c>
      <c r="B39" s="70">
        <f>C4</f>
        <v>440</v>
      </c>
      <c r="C39" s="1"/>
      <c r="D39" s="1"/>
      <c r="E39" s="97"/>
      <c r="G39" s="1"/>
      <c r="H39" s="1"/>
      <c r="I39" s="1"/>
    </row>
    <row r="40" spans="1:9" x14ac:dyDescent="0.35">
      <c r="A40" s="1" t="s">
        <v>128</v>
      </c>
      <c r="B40" s="32">
        <f>B37*B39</f>
        <v>9390</v>
      </c>
      <c r="C40" s="1"/>
      <c r="D40" s="1"/>
      <c r="E40" s="98">
        <v>3</v>
      </c>
      <c r="G40" s="1"/>
      <c r="H40" s="1"/>
      <c r="I40" s="1"/>
    </row>
    <row r="41" spans="1:9" x14ac:dyDescent="0.35">
      <c r="A41" s="1"/>
      <c r="B41" s="1"/>
      <c r="C41" s="1"/>
      <c r="D41" s="1"/>
      <c r="E41" s="95"/>
      <c r="G41" s="1"/>
      <c r="H41" s="1"/>
      <c r="I41" s="1"/>
    </row>
    <row r="42" spans="1:9" x14ac:dyDescent="0.35">
      <c r="A42" s="1" t="s">
        <v>122</v>
      </c>
      <c r="B42" s="69"/>
      <c r="C42" s="1">
        <f>C14</f>
        <v>10560</v>
      </c>
      <c r="D42" s="1"/>
      <c r="E42" s="95"/>
      <c r="G42" s="1"/>
      <c r="H42" s="1"/>
      <c r="I42" s="1"/>
    </row>
    <row r="43" spans="1:9" x14ac:dyDescent="0.35">
      <c r="A43" s="2" t="s">
        <v>123</v>
      </c>
      <c r="B43" s="1"/>
      <c r="C43" s="1"/>
      <c r="D43" s="1"/>
      <c r="E43" s="98"/>
      <c r="G43" s="1"/>
      <c r="H43" s="1"/>
      <c r="I43" s="1"/>
    </row>
    <row r="44" spans="1:9" x14ac:dyDescent="0.35">
      <c r="B44" s="1"/>
      <c r="E44" s="99"/>
    </row>
    <row r="45" spans="1:9" x14ac:dyDescent="0.35">
      <c r="B45" s="6"/>
      <c r="C45" s="83"/>
      <c r="D45" s="83"/>
    </row>
    <row r="46" spans="1:9" x14ac:dyDescent="0.35">
      <c r="A46" s="74" t="s">
        <v>134</v>
      </c>
      <c r="B46" s="75"/>
      <c r="C46" s="92"/>
      <c r="D46" s="76"/>
    </row>
    <row r="47" spans="1:9" x14ac:dyDescent="0.35">
      <c r="B47" s="6"/>
      <c r="C47" s="88">
        <f>B40</f>
        <v>9390</v>
      </c>
      <c r="E47" s="94">
        <v>1</v>
      </c>
    </row>
    <row r="48" spans="1:9" x14ac:dyDescent="0.35">
      <c r="A48" s="77" t="s">
        <v>148</v>
      </c>
      <c r="B48" s="1"/>
      <c r="C48" s="1"/>
      <c r="D48" s="1"/>
      <c r="E48" s="95"/>
      <c r="G48" s="1"/>
      <c r="H48" s="1"/>
      <c r="I48" s="1"/>
    </row>
    <row r="49" spans="1:9" x14ac:dyDescent="0.35">
      <c r="A49" s="1" t="s">
        <v>0</v>
      </c>
      <c r="B49" s="78">
        <v>10000</v>
      </c>
      <c r="C49" s="1"/>
      <c r="D49" s="1"/>
      <c r="E49" s="95"/>
      <c r="G49" s="1"/>
      <c r="H49" s="1"/>
      <c r="I49" s="1"/>
    </row>
    <row r="50" spans="1:9" x14ac:dyDescent="0.35">
      <c r="A50" s="1" t="s">
        <v>14</v>
      </c>
      <c r="B50" s="78">
        <f>B28</f>
        <v>8780</v>
      </c>
      <c r="C50" s="1"/>
      <c r="D50" s="1"/>
      <c r="E50" s="95"/>
      <c r="G50" s="1"/>
      <c r="H50" s="1"/>
      <c r="I50" s="1"/>
    </row>
    <row r="51" spans="1:9" x14ac:dyDescent="0.35">
      <c r="A51" s="1" t="s">
        <v>124</v>
      </c>
      <c r="B51" s="79">
        <f>-B40</f>
        <v>-9390</v>
      </c>
      <c r="C51" s="1"/>
      <c r="D51" s="1"/>
      <c r="E51" s="98">
        <v>2</v>
      </c>
      <c r="G51" s="1"/>
      <c r="H51" s="1"/>
      <c r="I51" s="1"/>
    </row>
    <row r="52" spans="1:9" x14ac:dyDescent="0.35">
      <c r="A52" s="1"/>
      <c r="B52" s="78">
        <f>SUM(B49:B51)</f>
        <v>9390</v>
      </c>
    </row>
    <row r="53" spans="1:9" x14ac:dyDescent="0.35">
      <c r="A53" s="77" t="s">
        <v>149</v>
      </c>
      <c r="B53" s="77"/>
    </row>
    <row r="54" spans="1:9" x14ac:dyDescent="0.35">
      <c r="A54" s="2" t="s">
        <v>2</v>
      </c>
      <c r="B54" s="78">
        <f>320*55+120*60</f>
        <v>24800</v>
      </c>
      <c r="C54" s="1"/>
      <c r="D54" s="1" t="s">
        <v>138</v>
      </c>
      <c r="E54" s="95"/>
      <c r="G54" s="1"/>
      <c r="H54" s="1"/>
      <c r="I54" s="1"/>
    </row>
    <row r="55" spans="1:9" x14ac:dyDescent="0.35">
      <c r="A55" s="2" t="s">
        <v>129</v>
      </c>
      <c r="B55" s="79">
        <f>-B52</f>
        <v>-9390</v>
      </c>
      <c r="C55" s="1"/>
      <c r="D55" s="1"/>
      <c r="E55" s="98">
        <v>2</v>
      </c>
      <c r="G55" s="1"/>
      <c r="H55" s="1"/>
      <c r="I55" s="1"/>
    </row>
    <row r="56" spans="1:9" x14ac:dyDescent="0.35">
      <c r="A56" s="84" t="s">
        <v>1</v>
      </c>
      <c r="B56" s="85">
        <f>SUM(B54:B55)</f>
        <v>15410</v>
      </c>
      <c r="C56" s="1"/>
      <c r="D56" s="1"/>
      <c r="E56" s="95"/>
      <c r="G56" s="1"/>
      <c r="H56" s="1"/>
      <c r="I56" s="1"/>
    </row>
    <row r="57" spans="1:9" x14ac:dyDescent="0.35">
      <c r="A57" s="32"/>
      <c r="B57" s="32"/>
      <c r="C57" s="32"/>
      <c r="D57" s="32"/>
    </row>
    <row r="58" spans="1:9" x14ac:dyDescent="0.35">
      <c r="C58" s="38"/>
      <c r="D58" s="38"/>
    </row>
    <row r="59" spans="1:9" x14ac:dyDescent="0.35">
      <c r="A59" s="1"/>
      <c r="B59" s="1"/>
      <c r="C59" s="1"/>
      <c r="D59" s="1"/>
      <c r="E59" s="94"/>
    </row>
    <row r="60" spans="1:9" x14ac:dyDescent="0.35">
      <c r="A60" s="1"/>
      <c r="B60" s="1"/>
      <c r="C60" s="1"/>
      <c r="D60" s="1"/>
      <c r="E60" s="98"/>
    </row>
    <row r="61" spans="1:9" x14ac:dyDescent="0.35">
      <c r="E61" s="94"/>
    </row>
    <row r="62" spans="1:9" x14ac:dyDescent="0.35">
      <c r="E62" s="94"/>
    </row>
    <row r="63" spans="1:9" x14ac:dyDescent="0.35">
      <c r="E63" s="94"/>
    </row>
    <row r="64" spans="1:9" x14ac:dyDescent="0.35">
      <c r="E64" s="98">
        <f>SUM(E3:E62)</f>
        <v>16</v>
      </c>
    </row>
  </sheetData>
  <mergeCells count="2">
    <mergeCell ref="A2:C2"/>
    <mergeCell ref="A32:C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שאלה 1 - עריכת דוחות כספיים</vt:lpstr>
      <vt:lpstr>שאלה  2 - לקוחות </vt:lpstr>
      <vt:lpstr>שאלה 3 רכוש קבוע</vt:lpstr>
      <vt:lpstr>שאלה 4 מלאי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2006-09-13T11:28:12Z</dcterms:created>
  <dcterms:modified xsi:type="dcterms:W3CDTF">2015-07-26T10:46:49Z</dcterms:modified>
</cp:coreProperties>
</file>