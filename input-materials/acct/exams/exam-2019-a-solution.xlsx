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ADIRE\Desktop\אקדמית תא -יפו\תואר ראשון\ניהול וכלכלה - חשבונאות א\"/>
    </mc:Choice>
  </mc:AlternateContent>
  <xr:revisionPtr revIDLastSave="0" documentId="13_ncr:1_{01BE5C9B-A477-4B9B-B2DE-18AC8BF2E98C}" xr6:coauthVersionLast="46" xr6:coauthVersionMax="46" xr10:uidLastSave="{00000000-0000-0000-0000-000000000000}"/>
  <bookViews>
    <workbookView xWindow="-110" yWindow="-110" windowWidth="19420" windowHeight="10420" activeTab="3" xr2:uid="{00000000-000D-0000-FFFF-FFFF00000000}"/>
  </bookViews>
  <sheets>
    <sheet name="Q1" sheetId="2" r:id="rId1"/>
    <sheet name="Q2" sheetId="3" r:id="rId2"/>
    <sheet name="Q3" sheetId="4" r:id="rId3"/>
    <sheet name="Q4" sheetId="5" r:id="rId4"/>
    <sheet name="Q1 Data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C7" i="5"/>
  <c r="D50" i="4"/>
  <c r="D52" i="4"/>
  <c r="G41" i="4" s="1"/>
  <c r="D51" i="4"/>
  <c r="D46" i="4"/>
  <c r="E41" i="4" s="1"/>
  <c r="D25" i="5" l="1"/>
  <c r="C35" i="5" s="1"/>
  <c r="C19" i="5"/>
  <c r="C34" i="5" s="1"/>
  <c r="C36" i="5" s="1"/>
  <c r="C17" i="5"/>
  <c r="D47" i="4"/>
  <c r="F41" i="4" s="1"/>
  <c r="D45" i="4"/>
  <c r="D41" i="4" s="1"/>
  <c r="G40" i="4"/>
  <c r="F40" i="4"/>
  <c r="E40" i="4"/>
  <c r="E42" i="4" s="1"/>
  <c r="D36" i="4"/>
  <c r="D33" i="4"/>
  <c r="D29" i="4"/>
  <c r="D30" i="4" s="1"/>
  <c r="D23" i="4" s="1"/>
  <c r="D24" i="4" s="1"/>
  <c r="D35" i="4" s="1"/>
  <c r="D18" i="4"/>
  <c r="D17" i="4"/>
  <c r="E14" i="4"/>
  <c r="E6" i="4"/>
  <c r="E8" i="4" s="1"/>
  <c r="B36" i="3"/>
  <c r="B37" i="3"/>
  <c r="B28" i="3"/>
  <c r="C13" i="3"/>
  <c r="C14" i="3" s="1"/>
  <c r="B14" i="3"/>
  <c r="B15" i="3" s="1"/>
  <c r="B16" i="3" s="1"/>
  <c r="E6" i="3"/>
  <c r="E8" i="3" s="1"/>
  <c r="C92" i="2"/>
  <c r="C89" i="2"/>
  <c r="D88" i="2"/>
  <c r="E88" i="2" s="1"/>
  <c r="D87" i="2"/>
  <c r="E87" i="2" s="1"/>
  <c r="E83" i="2"/>
  <c r="I40" i="2"/>
  <c r="I34" i="2"/>
  <c r="C41" i="2"/>
  <c r="C35" i="2"/>
  <c r="D23" i="2"/>
  <c r="E78" i="2"/>
  <c r="D21" i="2" s="1"/>
  <c r="E67" i="2"/>
  <c r="D20" i="2" s="1"/>
  <c r="E62" i="2"/>
  <c r="D18" i="2" s="1"/>
  <c r="E53" i="2"/>
  <c r="D17" i="2" s="1"/>
  <c r="E11" i="2"/>
  <c r="E12" i="2" s="1"/>
  <c r="E9" i="2"/>
  <c r="E10" i="2" s="1"/>
  <c r="E6" i="2"/>
  <c r="D51" i="1"/>
  <c r="K86" i="1" s="1"/>
  <c r="C61" i="1"/>
  <c r="K89" i="1"/>
  <c r="K88" i="1"/>
  <c r="J59" i="1"/>
  <c r="D43" i="1"/>
  <c r="G92" i="1"/>
  <c r="D87" i="1"/>
  <c r="C85" i="1"/>
  <c r="E84" i="1"/>
  <c r="F82" i="1"/>
  <c r="F92" i="1" s="1"/>
  <c r="H81" i="1"/>
  <c r="I80" i="1"/>
  <c r="D79" i="1"/>
  <c r="K77" i="1"/>
  <c r="D76" i="1"/>
  <c r="H75" i="1"/>
  <c r="D74" i="1"/>
  <c r="K73" i="1"/>
  <c r="D72" i="1"/>
  <c r="I71" i="1"/>
  <c r="H70" i="1"/>
  <c r="M69" i="1"/>
  <c r="M92" i="1" s="1"/>
  <c r="C68" i="1"/>
  <c r="E67" i="1"/>
  <c r="D66" i="1"/>
  <c r="D92" i="1" s="1"/>
  <c r="K65" i="1"/>
  <c r="I64" i="1"/>
  <c r="I63" i="1"/>
  <c r="J62" i="1"/>
  <c r="K60" i="1"/>
  <c r="G58" i="1"/>
  <c r="C57" i="1"/>
  <c r="C92" i="1" s="1"/>
  <c r="K56" i="1"/>
  <c r="I55" i="1"/>
  <c r="D52" i="1"/>
  <c r="E91" i="1" s="1"/>
  <c r="D48" i="1"/>
  <c r="D49" i="1" s="1"/>
  <c r="E90" i="1" s="1"/>
  <c r="D42" i="4" l="1"/>
  <c r="H41" i="4"/>
  <c r="F42" i="4"/>
  <c r="H40" i="4"/>
  <c r="D34" i="4"/>
  <c r="G42" i="4"/>
  <c r="I92" i="1"/>
  <c r="H92" i="1"/>
  <c r="K92" i="1"/>
  <c r="L83" i="1"/>
  <c r="L92" i="1" s="1"/>
  <c r="E92" i="1"/>
  <c r="J92" i="1"/>
  <c r="H7" i="5"/>
  <c r="C15" i="3"/>
  <c r="C16" i="3" s="1"/>
  <c r="B17" i="3"/>
  <c r="B18" i="3" s="1"/>
  <c r="C44" i="2"/>
  <c r="D89" i="2"/>
  <c r="E89" i="2"/>
  <c r="D19" i="2"/>
  <c r="D22" i="2" s="1"/>
  <c r="D25" i="2" s="1"/>
  <c r="C94" i="1"/>
  <c r="D36" i="1"/>
  <c r="K35" i="1"/>
  <c r="C34" i="1"/>
  <c r="E33" i="1"/>
  <c r="L32" i="1"/>
  <c r="L37" i="1" s="1"/>
  <c r="F31" i="1"/>
  <c r="F37" i="1" s="1"/>
  <c r="H30" i="1"/>
  <c r="I29" i="1"/>
  <c r="D28" i="1"/>
  <c r="K26" i="1"/>
  <c r="H24" i="1"/>
  <c r="D25" i="1"/>
  <c r="D23" i="1"/>
  <c r="K22" i="1"/>
  <c r="D21" i="1"/>
  <c r="I20" i="1"/>
  <c r="H19" i="1"/>
  <c r="M18" i="1"/>
  <c r="M37" i="1" s="1"/>
  <c r="C17" i="1"/>
  <c r="E16" i="1"/>
  <c r="E37" i="1" s="1"/>
  <c r="D15" i="1"/>
  <c r="K14" i="1"/>
  <c r="I13" i="1"/>
  <c r="I12" i="1"/>
  <c r="J11" i="1"/>
  <c r="C10" i="1"/>
  <c r="K9" i="1"/>
  <c r="J8" i="1"/>
  <c r="J37" i="1" s="1"/>
  <c r="G7" i="1"/>
  <c r="G37" i="1" s="1"/>
  <c r="C6" i="1"/>
  <c r="K5" i="1"/>
  <c r="I4" i="1"/>
  <c r="I37" i="1" s="1"/>
  <c r="H42" i="4" l="1"/>
  <c r="H6" i="5"/>
  <c r="C12" i="5" s="1"/>
  <c r="D22" i="5"/>
  <c r="D24" i="5" s="1"/>
  <c r="C29" i="5" s="1"/>
  <c r="C30" i="5" s="1"/>
  <c r="C17" i="3"/>
  <c r="C18" i="3" s="1"/>
  <c r="E24" i="3" s="1"/>
  <c r="B38" i="3" s="1"/>
  <c r="B39" i="3" s="1"/>
  <c r="B29" i="3" s="1"/>
  <c r="B30" i="3" s="1"/>
  <c r="I41" i="2"/>
  <c r="I42" i="2" s="1"/>
  <c r="I44" i="2" s="1"/>
  <c r="C93" i="2"/>
  <c r="C94" i="2" s="1"/>
  <c r="D37" i="1"/>
  <c r="K37" i="1"/>
  <c r="C37" i="1"/>
  <c r="H37" i="1"/>
  <c r="C39" i="1" l="1"/>
</calcChain>
</file>

<file path=xl/sharedStrings.xml><?xml version="1.0" encoding="utf-8"?>
<sst xmlns="http://schemas.openxmlformats.org/spreadsheetml/2006/main" count="356" uniqueCount="224">
  <si>
    <t>הוצאות הובלת קניות למחסן</t>
  </si>
  <si>
    <t>הוצאות שכר ומשכורות – הנהלה</t>
  </si>
  <si>
    <t>הון מניות</t>
  </si>
  <si>
    <t>הוצאות פרסום</t>
  </si>
  <si>
    <t>הוצאות ניקיון מראש</t>
  </si>
  <si>
    <t>הוצאות כנסים שיווקיים ללקוחות</t>
  </si>
  <si>
    <t>הנחות מספקים</t>
  </si>
  <si>
    <t>החזרות לספקים</t>
  </si>
  <si>
    <t>הוצאות שכר טרחת רואה חשבון – הנהלה</t>
  </si>
  <si>
    <t>ריהוט – פחת נצבר</t>
  </si>
  <si>
    <t>ספקים</t>
  </si>
  <si>
    <t>הכנסות ריבית</t>
  </si>
  <si>
    <t>הנחות ללקוחות</t>
  </si>
  <si>
    <t>קניות, ברוטו</t>
  </si>
  <si>
    <t>מחשבים – פחת נצבר</t>
  </si>
  <si>
    <t>הוצאות כיבודים – הנהלה</t>
  </si>
  <si>
    <t>מותגים</t>
  </si>
  <si>
    <t>מכירות</t>
  </si>
  <si>
    <t>השקעות לזמן ארוך</t>
  </si>
  <si>
    <t>הוצאות ארנונה – הנהלה</t>
  </si>
  <si>
    <t>יתרת עודפים ליום 1.1.2018</t>
  </si>
  <si>
    <t>מחשבים – עלות</t>
  </si>
  <si>
    <t>מלאי פתיחה</t>
  </si>
  <si>
    <t>החזרות מלקוחות</t>
  </si>
  <si>
    <t>הלוואות לזמן ארוך</t>
  </si>
  <si>
    <t>הוצאות ריבית</t>
  </si>
  <si>
    <t>הלוואות לזמן קצר</t>
  </si>
  <si>
    <t>לקוחות, ברוטו</t>
  </si>
  <si>
    <t>הוצאות אחזקה – הנהלה</t>
  </si>
  <si>
    <t>ריהוט – עלות</t>
  </si>
  <si>
    <t>פתרון בחינת הגמר – סמסטר 2019 א', מועד ב' - רו"ח עדי ריינהולד</t>
  </si>
  <si>
    <t>נכסים
שוטפים</t>
  </si>
  <si>
    <t>נכסים
לא שוטפים</t>
  </si>
  <si>
    <t>התחייבויות
שוטפות</t>
  </si>
  <si>
    <t>התחייבויות
לא שוטפות</t>
  </si>
  <si>
    <t>הון עצמי</t>
  </si>
  <si>
    <t>עלות המכר</t>
  </si>
  <si>
    <t>מכירה
ושיווק</t>
  </si>
  <si>
    <t>הנהלה
וכלליות</t>
  </si>
  <si>
    <t>הוצאות
מימון</t>
  </si>
  <si>
    <t>הכנסות
מימון</t>
  </si>
  <si>
    <t xml:space="preserve">ש"ח </t>
  </si>
  <si>
    <t>עו"ש בנק</t>
  </si>
  <si>
    <t>הוצאות חומ"ס</t>
  </si>
  <si>
    <t>הפרשה לחומ"ס</t>
  </si>
  <si>
    <t>בקרה - שוויון בין נכסים לבין התחייבויות והון</t>
  </si>
  <si>
    <t>מס' נתון נוסף</t>
  </si>
  <si>
    <t>פקודה</t>
  </si>
  <si>
    <t>ח' הוצאות ביטוח</t>
  </si>
  <si>
    <t>ז' הוצאות פרסום</t>
  </si>
  <si>
    <t>ח' הוצאות ניקיון</t>
  </si>
  <si>
    <t>ז' הוצאות ניקיון מראש</t>
  </si>
  <si>
    <t>ח' הוצאות ריבית</t>
  </si>
  <si>
    <t>ז' ריבית לשלם</t>
  </si>
  <si>
    <t>ח' הוצאות אחזקה</t>
  </si>
  <si>
    <t>ז' הוצאות אחזקה לשלם</t>
  </si>
  <si>
    <t>הוצאות ביטוח</t>
  </si>
  <si>
    <t>הוצאות ניקיון</t>
  </si>
  <si>
    <t>ריבית לשלם</t>
  </si>
  <si>
    <t>הוצאות אחזקה לשלם</t>
  </si>
  <si>
    <t>פתרון שאלה 1</t>
  </si>
  <si>
    <t xml:space="preserve">מס' נתון </t>
  </si>
  <si>
    <t>פתרון נדרש א': פקודות יומן עבור הנתונים הנוספים</t>
  </si>
  <si>
    <t>פתרון נדרש ב': דוחות כספיים</t>
  </si>
  <si>
    <t>חברת "מצליחים ובגדול" - דוח רווח והפסד לשנה שנסתיימה ב-31.12.2018</t>
  </si>
  <si>
    <t>עלות המכירות</t>
  </si>
  <si>
    <t>רווח גולמי</t>
  </si>
  <si>
    <t>הוצאות מכירה ושיווק</t>
  </si>
  <si>
    <t>הוצאות הנהלה וכלליות</t>
  </si>
  <si>
    <t>רווח תפעולי</t>
  </si>
  <si>
    <t>הוצאות מימון</t>
  </si>
  <si>
    <t>הכנסות מימון</t>
  </si>
  <si>
    <t>רווח נקי</t>
  </si>
  <si>
    <t>ש"ח</t>
  </si>
  <si>
    <t>ביאור</t>
  </si>
  <si>
    <t>א</t>
  </si>
  <si>
    <t>ב</t>
  </si>
  <si>
    <t>ג</t>
  </si>
  <si>
    <t>ד</t>
  </si>
  <si>
    <t>חברת "מצליחים ובגדול" - ביאורים לדוחות הכספיים</t>
  </si>
  <si>
    <t>ביאור א' - מכירות, נטו</t>
  </si>
  <si>
    <t>ביאור ב' - עלות המכירות</t>
  </si>
  <si>
    <t>ביאור ג' - הוצאות מכירה ושיווק</t>
  </si>
  <si>
    <t>ביאור ד' - הוצאות הנהלה וכלליות</t>
  </si>
  <si>
    <t>מכירות (ברוטו)</t>
  </si>
  <si>
    <t>הובלת קניות למחסן</t>
  </si>
  <si>
    <t>מלאי סגירה</t>
  </si>
  <si>
    <t>הוצאות שכר ומשכורות</t>
  </si>
  <si>
    <t>הוצאות שכר טרחת רו"ח</t>
  </si>
  <si>
    <t>הוצאות כיבודים</t>
  </si>
  <si>
    <t>הוצאות ארנונה</t>
  </si>
  <si>
    <t>הוצאות אחזקה</t>
  </si>
  <si>
    <t>חברת "מצליחים ובגדול" - מאזן ליום 31.12.2018</t>
  </si>
  <si>
    <t>נכסים</t>
  </si>
  <si>
    <t>נכסים שוטפים</t>
  </si>
  <si>
    <t>מזומן</t>
  </si>
  <si>
    <t>לקוחות, נטו</t>
  </si>
  <si>
    <t>מלאי</t>
  </si>
  <si>
    <t>נכסים לא שוטפים</t>
  </si>
  <si>
    <t>רכוש קבוע, נטו</t>
  </si>
  <si>
    <t>רכוש אחר</t>
  </si>
  <si>
    <t>סך הנכסים</t>
  </si>
  <si>
    <t>התחייבויות שוטפות</t>
  </si>
  <si>
    <t>הוצאות לשלם</t>
  </si>
  <si>
    <t>התחייבויות לא שוטפות</t>
  </si>
  <si>
    <t>עודפים</t>
  </si>
  <si>
    <t>סך ההתחייבויות וההון העצמי</t>
  </si>
  <si>
    <t>התחייבויות והון עצמי</t>
  </si>
  <si>
    <t>הוצאות מראש</t>
  </si>
  <si>
    <t>ה</t>
  </si>
  <si>
    <t>ו</t>
  </si>
  <si>
    <t>ז</t>
  </si>
  <si>
    <t>ביאור ה' - לקוחות, נטו</t>
  </si>
  <si>
    <t>ביאור ו' - רכוש קבוע, נטו</t>
  </si>
  <si>
    <t>ביאור ז' - עודפים</t>
  </si>
  <si>
    <t>עלות</t>
  </si>
  <si>
    <t>פחת נצבר</t>
  </si>
  <si>
    <t>ערך נטו</t>
  </si>
  <si>
    <t>מחשבים</t>
  </si>
  <si>
    <t>ריהוט</t>
  </si>
  <si>
    <t>סה"כ</t>
  </si>
  <si>
    <t>י.פ. עודפים</t>
  </si>
  <si>
    <t>פתרון שאלה 2</t>
  </si>
  <si>
    <t>פתרון נדרש א' - מס' היחידות במלאי הפתיחה</t>
  </si>
  <si>
    <t>עלות מלאי הפתיחה לפי נתון נוסף 1:</t>
  </si>
  <si>
    <t>שווי המימוש נטו של מלאי הפתיחה:</t>
  </si>
  <si>
    <t>הנמוך מביניהם, לפיו ייקבע ערכו - עלות:</t>
  </si>
  <si>
    <t>העלות ליח' אחת - נתון:</t>
  </si>
  <si>
    <t xml:space="preserve">19,000 / 19 = </t>
  </si>
  <si>
    <t>מס' היחידות במלאי הפתיחה - חילוץ:</t>
  </si>
  <si>
    <t>פתרון נדרש ב' - ערך מלאי הסגירה בשיטת ממוצע משוקלל נע תמידי</t>
  </si>
  <si>
    <t>תאריך</t>
  </si>
  <si>
    <t>יתרה (יח')</t>
  </si>
  <si>
    <t>עלות ליח'</t>
  </si>
  <si>
    <t>15/01/2018</t>
  </si>
  <si>
    <t>30/03/2018</t>
  </si>
  <si>
    <t>14/06/2018</t>
  </si>
  <si>
    <t>17/09/2018</t>
  </si>
  <si>
    <t>15/12/2018</t>
  </si>
  <si>
    <t xml:space="preserve">750 * 26.24 = </t>
  </si>
  <si>
    <t>נכון ליום 31/12/2018, שווי המימוש נטו ליחידת מלאי הנו 43 ש"ח - ערך גבוה מהעלות</t>
  </si>
  <si>
    <t>הממוצעת ליחידה, לכן ערך המלאי נכון למועד זה ייקבע לפי העלות, וזאת בהתבסס על</t>
  </si>
  <si>
    <t>עקרון הבחירה של הנמוך מבין העלות לבין שווי מימוש נטו.</t>
  </si>
  <si>
    <t>סך ערך מלאי הסגירה:</t>
  </si>
  <si>
    <t>פתרון נדרש ג' - חישוב הרווח הגולמי בחברה בשיטת ממוצע משוקלל נע תמידי</t>
  </si>
  <si>
    <t>ביאור בדבר עלות המכר</t>
  </si>
  <si>
    <t>קניות</t>
  </si>
  <si>
    <t>פתרון נדרש ד' - תיאוריה - שיטת "פיפו" וערך המלאי</t>
  </si>
  <si>
    <t xml:space="preserve">הטענה של סמנכ"ל הכספים נכונה. בשיטת "פיפו" נבעת עלות מלאי הסגירה בהתאם </t>
  </si>
  <si>
    <t>לעלות היחידות שנרכשו אחרונות. בסיטואציה של עליית מחירים, יחידות אחרונות אלו</t>
  </si>
  <si>
    <t>נרכשו, סביר להניח, בעלות גבוהה יותר, ולכן עלות מלאי הסגירה אגב יישום שיטה זו</t>
  </si>
  <si>
    <t xml:space="preserve">בנסיבות אלו, תהא גבוהה יותר. בהנחה שהעלות נמוכה משווי המימוש נטו, העלייה </t>
  </si>
  <si>
    <t>בערכה בעקבות יישום שיטת "פיפו" יוביל לערך מלאי סגירה גבוה יותר.</t>
  </si>
  <si>
    <t>פתרון שאלה 3</t>
  </si>
  <si>
    <t>פתרון נדרש א' - מועד הרכישה של המכונות</t>
  </si>
  <si>
    <t>עלות המכונות הכוללת, כולל הובלה:</t>
  </si>
  <si>
    <t>תקופת ההפחתה בשנים:</t>
  </si>
  <si>
    <t>הוצאות פחת לשנה:</t>
  </si>
  <si>
    <t xml:space="preserve">80,000 / 5 = </t>
  </si>
  <si>
    <t>כנתון, הפחת הנצבר ל-31.12.2018 הוא:</t>
  </si>
  <si>
    <t>ולכן תקופת ההפחתה שחלפה בשנים היא:</t>
  </si>
  <si>
    <t xml:space="preserve">32,000 / 16,000 = </t>
  </si>
  <si>
    <t>בנוסף נתון כי המכונות הפכו לשימוש מיד במועד רכישתן.</t>
  </si>
  <si>
    <t>לכן ניתן להסיק שהמכונות נרכשו ב-1.1.2017, שנתיים לפני ה-31.12.2018.</t>
  </si>
  <si>
    <t>פתרון נדרש ב' - הוצאות הפחת בגין המכונות והריהוט לשנת 2019</t>
  </si>
  <si>
    <t>35,000 / 5 =</t>
  </si>
  <si>
    <t>הוצאות הפחת בגין הריהוט:</t>
  </si>
  <si>
    <t>הואיל ומכונה ב' נמכרה מיד בתחילת 2019, הפחת שיוכר ב-2019 יהא בגין מכונה א' בלבד.</t>
  </si>
  <si>
    <t>סכום ספרות</t>
  </si>
  <si>
    <t xml:space="preserve">10 * 11 / 2 = </t>
  </si>
  <si>
    <t>הוצאות הפחת ב-2019:</t>
  </si>
  <si>
    <t xml:space="preserve">(30,000 - 5,000) * [(7 * 9/12 + 6 * 3/12)/55] = </t>
  </si>
  <si>
    <t>הוצאות הפחת בגין המכונה ב-2019:</t>
  </si>
  <si>
    <t>פתרון נדרש ג' - רווח / הפסד ההון ממכירת מכונה ב' ופקודת יומן</t>
  </si>
  <si>
    <t>תמורת המכירה</t>
  </si>
  <si>
    <t>עלות מופחתת ערב המכירה</t>
  </si>
  <si>
    <t>ביאור - עלות מופחתת ערב המכירה</t>
  </si>
  <si>
    <t>עלות מופחתת</t>
  </si>
  <si>
    <t xml:space="preserve">40,000 + 5,000 = </t>
  </si>
  <si>
    <t xml:space="preserve">45,000 / 5 * 2 = </t>
  </si>
  <si>
    <t>הפסד הון</t>
  </si>
  <si>
    <t>פקודת היומן למתן ביטוי למכירה:</t>
  </si>
  <si>
    <t>ח' מזומן</t>
  </si>
  <si>
    <t>ח' הפסד הון</t>
  </si>
  <si>
    <t>ח' מכונה ב' - פחנ"צ</t>
  </si>
  <si>
    <t>ז' מכונה ב' - עלות</t>
  </si>
  <si>
    <t>פתרון נדרש ד' - ביאור יתרות הרכוש הקבוע ליום 31.12.2019</t>
  </si>
  <si>
    <t>מכונות</t>
  </si>
  <si>
    <t>כלי רכב</t>
  </si>
  <si>
    <t>הסברים נוספים:</t>
  </si>
  <si>
    <t>פחת נצבר מכונות</t>
  </si>
  <si>
    <t>פחת נצבר מחשבים</t>
  </si>
  <si>
    <t>פחת נצבר ריהוט</t>
  </si>
  <si>
    <t xml:space="preserve">35,000 / 5 * 3 = </t>
  </si>
  <si>
    <t xml:space="preserve">(30,000 - 5,000) * [(10+9+8+7+6*3/12)/55] = </t>
  </si>
  <si>
    <t>פתרון נדרש ה' - סיווג הוצאות פחת בגין פריטי רכוש קבוע שונים</t>
  </si>
  <si>
    <t>ככלל, יש לסווג את הוצאות הפחת בגין פריטי רכוש קבוע בהתאם למהות הפעילות העסקית</t>
  </si>
  <si>
    <t>לשמה שמשו פריטי רכוש קבוע אלו.</t>
  </si>
  <si>
    <t>הוצאות פחת מחשבים:</t>
  </si>
  <si>
    <t>הוצאות פחת ריהוט:</t>
  </si>
  <si>
    <t>הוצאות פחת כלי רכב:</t>
  </si>
  <si>
    <t>פתרון שאלה 4</t>
  </si>
  <si>
    <t>פתרון סעיף א' - ההוצאה לחובות  מסופקים - שנת 2017</t>
  </si>
  <si>
    <t>י.פ.</t>
  </si>
  <si>
    <t>מכירות באשראי</t>
  </si>
  <si>
    <t>גבייה מלקוחות</t>
  </si>
  <si>
    <t>לקוחות (ברוטו)</t>
  </si>
  <si>
    <t>הוצאות הלח"מ</t>
  </si>
  <si>
    <t>י.ס.</t>
  </si>
  <si>
    <t>פתרון סעיף ב' - ההוצאה לחובות מסופקים - שנת 2018</t>
  </si>
  <si>
    <t>חוב אבוד</t>
  </si>
  <si>
    <t>פתרון סעיף ג' - ביאור מפורט ליתרת הלקוחות נטו - 31.12.2018</t>
  </si>
  <si>
    <t>פתרון סעיף ד' - תיאוריה</t>
  </si>
  <si>
    <t xml:space="preserve">שיטת גיול החייבים היא מדוייקת יותר מחישוב שיעור הלח"מ כללי, משום שהיא </t>
  </si>
  <si>
    <t xml:space="preserve">מתייחסת למתאם החיובי המתקיים בין ותק החוב (או "עומק הפיגור") לבין </t>
  </si>
  <si>
    <t>ההסתברות לכשל פירעון. במילים אחרות, שיטת גיול החובות מביאה בחשבון מידע</t>
  </si>
  <si>
    <t>רב יותר בהערכת ההסתברויות השונות לכשל הפירעון ולכן בדרך כלל מדוייקת</t>
  </si>
  <si>
    <t>ונכונה יותר.</t>
  </si>
  <si>
    <t xml:space="preserve">5,000 + (60,000 - 10,000)/6 * 9/12 = </t>
  </si>
  <si>
    <t>פחת שנצבר רכב שנשאר</t>
  </si>
  <si>
    <t>פחת שנצבר רכב שנרכש</t>
  </si>
  <si>
    <t>50,000/7 *6/12=</t>
  </si>
  <si>
    <t xml:space="preserve">הנחה לפיתרון - ערך הגרט בסך 15,000 מיוחס במלואו לרכב שלא נמכר </t>
  </si>
  <si>
    <t>(45,000-15,000)/7*3=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</si>
</sst>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;\(#,##0\)"/>
    <numFmt numFmtId="165" formatCode="[$-1010000]d/m/yyyy;@"/>
  </numFmts>
  <fonts count="23">
    <font>
      <sz val="11"/>
      <color theme="1"/>
      <name val="Liberation Sans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Liberation Sans"/>
      <charset val="177"/>
    </font>
    <font>
      <b/>
      <sz val="10"/>
      <color rgb="FF000000"/>
      <name val="Liberation Sans"/>
      <charset val="177"/>
    </font>
    <font>
      <sz val="10"/>
      <color rgb="FFFFFFFF"/>
      <name val="Liberation Sans"/>
      <charset val="177"/>
    </font>
    <font>
      <sz val="10"/>
      <color rgb="FFCC0000"/>
      <name val="Liberation Sans"/>
      <charset val="177"/>
    </font>
    <font>
      <b/>
      <sz val="10"/>
      <color rgb="FFFFFFFF"/>
      <name val="Liberation Sans"/>
      <charset val="177"/>
    </font>
    <font>
      <i/>
      <sz val="10"/>
      <color rgb="FF808080"/>
      <name val="Liberation Sans"/>
      <charset val="177"/>
    </font>
    <font>
      <sz val="10"/>
      <color rgb="FF006600"/>
      <name val="Liberation Sans"/>
      <charset val="177"/>
    </font>
    <font>
      <b/>
      <sz val="24"/>
      <color rgb="FF000000"/>
      <name val="Liberation Sans"/>
      <charset val="177"/>
    </font>
    <font>
      <sz val="18"/>
      <color rgb="FF000000"/>
      <name val="Liberation Sans"/>
      <charset val="177"/>
    </font>
    <font>
      <sz val="12"/>
      <color rgb="FF000000"/>
      <name val="Liberation Sans"/>
      <charset val="177"/>
    </font>
    <font>
      <u/>
      <sz val="10"/>
      <color rgb="FF0000EE"/>
      <name val="Liberation Sans"/>
      <charset val="177"/>
    </font>
    <font>
      <sz val="10"/>
      <color rgb="FF996600"/>
      <name val="Liberation Sans"/>
      <charset val="177"/>
    </font>
    <font>
      <sz val="10"/>
      <color rgb="FF333333"/>
      <name val="Liberation Sans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2"/>
      <color theme="1"/>
      <name val="David"/>
      <family val="2"/>
    </font>
    <font>
      <b/>
      <sz val="11"/>
      <color rgb="FFFF0000"/>
      <name val="David"/>
      <family val="2"/>
    </font>
    <font>
      <b/>
      <sz val="12"/>
      <color rgb="FFFF0000"/>
      <name val="David"/>
      <family val="2"/>
    </font>
    <font>
      <b/>
      <sz val="14"/>
      <color theme="1"/>
      <name val="David"/>
      <family val="2"/>
    </font>
    <font>
      <b/>
      <sz val="18"/>
      <color theme="1"/>
      <name val="David"/>
      <family val="2"/>
    </font>
    <font>
      <u/>
      <sz val="12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2" borderId="0"/>
    <xf numFmtId="0" fontId="4" fillId="3" borderId="0"/>
    <xf numFmtId="0" fontId="3" fillId="4" borderId="0"/>
    <xf numFmtId="0" fontId="5" fillId="5" borderId="0"/>
    <xf numFmtId="0" fontId="6" fillId="6" borderId="0"/>
    <xf numFmtId="0" fontId="7" fillId="0" borderId="0"/>
    <xf numFmtId="0" fontId="8" fillId="7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8" borderId="0"/>
    <xf numFmtId="0" fontId="14" fillId="8" borderId="1"/>
    <xf numFmtId="0" fontId="2" fillId="0" borderId="0"/>
    <xf numFmtId="0" fontId="2" fillId="0" borderId="0"/>
    <xf numFmtId="0" fontId="5" fillId="0" borderId="0"/>
  </cellStyleXfs>
  <cellXfs count="56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right" readingOrder="2"/>
    </xf>
    <xf numFmtId="0" fontId="17" fillId="0" borderId="0" xfId="0" applyFont="1" applyAlignment="1">
      <alignment horizontal="right"/>
    </xf>
    <xf numFmtId="0" fontId="17" fillId="0" borderId="0" xfId="0" applyFont="1"/>
    <xf numFmtId="0" fontId="17" fillId="0" borderId="2" xfId="0" applyFont="1" applyBorder="1"/>
    <xf numFmtId="0" fontId="17" fillId="0" borderId="2" xfId="0" applyFont="1" applyBorder="1" applyAlignment="1">
      <alignment wrapText="1"/>
    </xf>
    <xf numFmtId="164" fontId="17" fillId="0" borderId="0" xfId="1" applyNumberFormat="1" applyFont="1"/>
    <xf numFmtId="164" fontId="16" fillId="0" borderId="0" xfId="1" applyNumberFormat="1" applyFont="1"/>
    <xf numFmtId="164" fontId="17" fillId="0" borderId="3" xfId="1" applyNumberFormat="1" applyFont="1" applyBorder="1"/>
    <xf numFmtId="164" fontId="18" fillId="0" borderId="0" xfId="1" applyNumberFormat="1" applyFont="1"/>
    <xf numFmtId="0" fontId="19" fillId="0" borderId="0" xfId="0" applyFont="1" applyAlignment="1">
      <alignment horizontal="right"/>
    </xf>
    <xf numFmtId="164" fontId="19" fillId="0" borderId="0" xfId="1" applyNumberFormat="1" applyFont="1"/>
    <xf numFmtId="0" fontId="18" fillId="0" borderId="0" xfId="0" applyFont="1"/>
    <xf numFmtId="164" fontId="18" fillId="9" borderId="0" xfId="1" applyNumberFormat="1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17" fillId="0" borderId="2" xfId="0" applyFont="1" applyBorder="1" applyAlignment="1">
      <alignment horizontal="right"/>
    </xf>
    <xf numFmtId="164" fontId="17" fillId="0" borderId="0" xfId="0" applyNumberFormat="1" applyFont="1"/>
    <xf numFmtId="164" fontId="17" fillId="0" borderId="0" xfId="1" applyNumberFormat="1" applyFont="1" applyAlignment="1">
      <alignment horizontal="right"/>
    </xf>
    <xf numFmtId="164" fontId="17" fillId="0" borderId="3" xfId="1" applyNumberFormat="1" applyFont="1" applyBorder="1" applyAlignment="1">
      <alignment horizontal="right"/>
    </xf>
    <xf numFmtId="164" fontId="15" fillId="0" borderId="4" xfId="1" applyNumberFormat="1" applyFont="1" applyBorder="1" applyAlignment="1">
      <alignment horizontal="right"/>
    </xf>
    <xf numFmtId="0" fontId="15" fillId="0" borderId="2" xfId="0" applyFont="1" applyBorder="1"/>
    <xf numFmtId="0" fontId="17" fillId="0" borderId="5" xfId="0" applyFont="1" applyBorder="1"/>
    <xf numFmtId="164" fontId="17" fillId="0" borderId="2" xfId="1" applyNumberFormat="1" applyFont="1" applyBorder="1" applyAlignment="1">
      <alignment horizontal="right"/>
    </xf>
    <xf numFmtId="0" fontId="17" fillId="0" borderId="6" xfId="0" applyFont="1" applyBorder="1"/>
    <xf numFmtId="0" fontId="17" fillId="0" borderId="7" xfId="0" applyFont="1" applyBorder="1"/>
    <xf numFmtId="164" fontId="17" fillId="0" borderId="8" xfId="1" applyNumberFormat="1" applyFont="1" applyBorder="1"/>
    <xf numFmtId="0" fontId="17" fillId="0" borderId="9" xfId="0" applyFont="1" applyBorder="1"/>
    <xf numFmtId="164" fontId="17" fillId="0" borderId="10" xfId="1" applyNumberFormat="1" applyFont="1" applyBorder="1"/>
    <xf numFmtId="164" fontId="19" fillId="9" borderId="0" xfId="1" applyNumberFormat="1" applyFont="1" applyFill="1" applyAlignment="1">
      <alignment horizontal="right"/>
    </xf>
    <xf numFmtId="165" fontId="17" fillId="0" borderId="0" xfId="0" applyNumberFormat="1" applyFont="1"/>
    <xf numFmtId="2" fontId="17" fillId="0" borderId="0" xfId="0" applyNumberFormat="1" applyFont="1"/>
    <xf numFmtId="14" fontId="17" fillId="0" borderId="0" xfId="0" applyNumberFormat="1" applyFont="1" applyAlignment="1">
      <alignment horizontal="right"/>
    </xf>
    <xf numFmtId="164" fontId="17" fillId="0" borderId="3" xfId="0" applyNumberFormat="1" applyFont="1" applyBorder="1"/>
    <xf numFmtId="164" fontId="19" fillId="9" borderId="3" xfId="0" applyNumberFormat="1" applyFont="1" applyFill="1" applyBorder="1"/>
    <xf numFmtId="3" fontId="17" fillId="0" borderId="0" xfId="0" applyNumberFormat="1" applyFont="1"/>
    <xf numFmtId="3" fontId="17" fillId="0" borderId="3" xfId="0" applyNumberFormat="1" applyFont="1" applyBorder="1"/>
    <xf numFmtId="0" fontId="17" fillId="0" borderId="11" xfId="0" applyFont="1" applyBorder="1"/>
    <xf numFmtId="0" fontId="17" fillId="0" borderId="12" xfId="0" applyFont="1" applyBorder="1"/>
    <xf numFmtId="0" fontId="17" fillId="0" borderId="8" xfId="0" applyFont="1" applyBorder="1"/>
    <xf numFmtId="0" fontId="17" fillId="0" borderId="13" xfId="0" applyFont="1" applyBorder="1"/>
    <xf numFmtId="0" fontId="17" fillId="0" borderId="10" xfId="0" applyFont="1" applyBorder="1"/>
    <xf numFmtId="37" fontId="17" fillId="0" borderId="8" xfId="0" applyNumberFormat="1" applyFont="1" applyBorder="1"/>
    <xf numFmtId="37" fontId="17" fillId="0" borderId="0" xfId="0" applyNumberFormat="1" applyFont="1"/>
    <xf numFmtId="37" fontId="17" fillId="0" borderId="10" xfId="0" applyNumberFormat="1" applyFont="1" applyBorder="1"/>
    <xf numFmtId="37" fontId="17" fillId="0" borderId="2" xfId="0" applyNumberFormat="1" applyFont="1" applyBorder="1"/>
    <xf numFmtId="37" fontId="17" fillId="0" borderId="13" xfId="0" applyNumberFormat="1" applyFont="1" applyBorder="1"/>
    <xf numFmtId="37" fontId="19" fillId="9" borderId="13" xfId="0" applyNumberFormat="1" applyFont="1" applyFill="1" applyBorder="1"/>
    <xf numFmtId="37" fontId="17" fillId="0" borderId="3" xfId="0" applyNumberFormat="1" applyFont="1" applyBorder="1"/>
    <xf numFmtId="164" fontId="22" fillId="0" borderId="0" xfId="0" applyNumberFormat="1" applyFont="1"/>
    <xf numFmtId="0" fontId="22" fillId="0" borderId="0" xfId="0" applyFont="1"/>
    <xf numFmtId="0" fontId="17" fillId="0" borderId="2" xfId="0" applyFont="1" applyBorder="1" applyAlignment="1">
      <alignment horizontal="center"/>
    </xf>
    <xf numFmtId="37" fontId="19" fillId="0" borderId="13" xfId="0" applyNumberFormat="1" applyFont="1" applyFill="1" applyBorder="1"/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Comma" xfId="1" builtinId="3"/>
    <cellStyle name="Error" xfId="7" xr:uid="{00000000-0005-0000-0000-000006000000}"/>
    <cellStyle name="Footnote" xfId="8" xr:uid="{00000000-0005-0000-0000-000007000000}"/>
    <cellStyle name="Good" xfId="9" xr:uid="{00000000-0005-0000-0000-000008000000}"/>
    <cellStyle name="Heading" xfId="10" xr:uid="{00000000-0005-0000-0000-000009000000}"/>
    <cellStyle name="Heading 1" xfId="11" xr:uid="{00000000-0005-0000-0000-00000A000000}"/>
    <cellStyle name="Heading 2" xfId="12" xr:uid="{00000000-0005-0000-0000-00000B000000}"/>
    <cellStyle name="Hyperlink" xfId="13" xr:uid="{00000000-0005-0000-0000-00000C000000}"/>
    <cellStyle name="Neutral" xfId="14" xr:uid="{00000000-0005-0000-0000-00000D000000}"/>
    <cellStyle name="Normal" xfId="0" builtinId="0" customBuiltin="1"/>
    <cellStyle name="Note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6"/>
  <sheetViews>
    <sheetView rightToLeft="1" view="pageBreakPreview" topLeftCell="A61" zoomScaleNormal="100" zoomScaleSheetLayoutView="100" workbookViewId="0">
      <selection activeCell="R11" sqref="R11"/>
    </sheetView>
  </sheetViews>
  <sheetFormatPr defaultColWidth="9" defaultRowHeight="15.5"/>
  <cols>
    <col min="1" max="16384" width="9" style="5"/>
  </cols>
  <sheetData>
    <row r="1" spans="1:7" ht="23">
      <c r="A1" s="18" t="s">
        <v>60</v>
      </c>
    </row>
    <row r="3" spans="1:7" ht="18">
      <c r="A3" s="17" t="s">
        <v>62</v>
      </c>
    </row>
    <row r="4" spans="1:7">
      <c r="A4" s="40" t="s">
        <v>61</v>
      </c>
      <c r="B4" s="25" t="s">
        <v>47</v>
      </c>
      <c r="C4" s="25"/>
      <c r="D4" s="25"/>
      <c r="E4" s="41" t="s">
        <v>41</v>
      </c>
    </row>
    <row r="5" spans="1:7">
      <c r="A5" s="27">
        <v>1</v>
      </c>
      <c r="B5" s="28" t="s">
        <v>48</v>
      </c>
      <c r="C5" s="28"/>
      <c r="D5" s="28"/>
      <c r="E5" s="29">
        <v>9000</v>
      </c>
    </row>
    <row r="6" spans="1:7">
      <c r="A6" s="30"/>
      <c r="B6" s="6" t="s">
        <v>49</v>
      </c>
      <c r="C6" s="6"/>
      <c r="D6" s="6"/>
      <c r="E6" s="31">
        <f>E5</f>
        <v>9000</v>
      </c>
    </row>
    <row r="7" spans="1:7">
      <c r="A7" s="27">
        <v>2</v>
      </c>
      <c r="B7" s="28" t="s">
        <v>50</v>
      </c>
      <c r="C7" s="28"/>
      <c r="D7" s="28"/>
      <c r="E7" s="29">
        <v>10000</v>
      </c>
    </row>
    <row r="8" spans="1:7">
      <c r="A8" s="30"/>
      <c r="B8" s="6" t="s">
        <v>51</v>
      </c>
      <c r="C8" s="6"/>
      <c r="D8" s="6"/>
      <c r="E8" s="31">
        <v>10000</v>
      </c>
    </row>
    <row r="9" spans="1:7">
      <c r="A9" s="27">
        <v>3</v>
      </c>
      <c r="B9" s="28" t="s">
        <v>52</v>
      </c>
      <c r="C9" s="28"/>
      <c r="D9" s="28"/>
      <c r="E9" s="29">
        <f>50000*0.1</f>
        <v>5000</v>
      </c>
    </row>
    <row r="10" spans="1:7">
      <c r="A10" s="30"/>
      <c r="B10" s="6" t="s">
        <v>53</v>
      </c>
      <c r="C10" s="6"/>
      <c r="D10" s="6"/>
      <c r="E10" s="31">
        <f>E9</f>
        <v>5000</v>
      </c>
    </row>
    <row r="11" spans="1:7">
      <c r="A11" s="27">
        <v>4</v>
      </c>
      <c r="B11" s="28" t="s">
        <v>54</v>
      </c>
      <c r="C11" s="28"/>
      <c r="D11" s="28"/>
      <c r="E11" s="29">
        <f>1700*2</f>
        <v>3400</v>
      </c>
    </row>
    <row r="12" spans="1:7">
      <c r="A12" s="30"/>
      <c r="B12" s="6" t="s">
        <v>55</v>
      </c>
      <c r="C12" s="6"/>
      <c r="D12" s="6"/>
      <c r="E12" s="31">
        <f>E11</f>
        <v>3400</v>
      </c>
    </row>
    <row r="14" spans="1:7" ht="18">
      <c r="A14" s="17" t="s">
        <v>63</v>
      </c>
    </row>
    <row r="15" spans="1:7">
      <c r="A15" s="1" t="s">
        <v>64</v>
      </c>
      <c r="B15" s="1"/>
      <c r="C15" s="1"/>
      <c r="D15" s="1"/>
      <c r="E15" s="1"/>
      <c r="F15" s="1"/>
      <c r="G15" s="1"/>
    </row>
    <row r="16" spans="1:7">
      <c r="D16" s="19" t="s">
        <v>73</v>
      </c>
      <c r="E16" s="19" t="s">
        <v>74</v>
      </c>
    </row>
    <row r="17" spans="1:10">
      <c r="A17" s="5" t="s">
        <v>17</v>
      </c>
      <c r="D17" s="21">
        <f>E53</f>
        <v>820000</v>
      </c>
      <c r="E17" s="4" t="s">
        <v>75</v>
      </c>
    </row>
    <row r="18" spans="1:10">
      <c r="A18" s="5" t="s">
        <v>65</v>
      </c>
      <c r="D18" s="21">
        <f>-E62</f>
        <v>-263000</v>
      </c>
      <c r="E18" s="4" t="s">
        <v>76</v>
      </c>
    </row>
    <row r="19" spans="1:10">
      <c r="A19" s="5" t="s">
        <v>66</v>
      </c>
      <c r="D19" s="22">
        <f>D17+D18</f>
        <v>557000</v>
      </c>
      <c r="E19" s="4"/>
    </row>
    <row r="20" spans="1:10">
      <c r="A20" s="5" t="s">
        <v>67</v>
      </c>
      <c r="D20" s="21">
        <f>-E67</f>
        <v>-23000</v>
      </c>
      <c r="E20" s="4" t="s">
        <v>77</v>
      </c>
    </row>
    <row r="21" spans="1:10">
      <c r="A21" s="5" t="s">
        <v>68</v>
      </c>
      <c r="D21" s="21">
        <f>-E78</f>
        <v>-332400</v>
      </c>
      <c r="E21" s="4" t="s">
        <v>78</v>
      </c>
    </row>
    <row r="22" spans="1:10">
      <c r="A22" s="5" t="s">
        <v>69</v>
      </c>
      <c r="D22" s="22">
        <f>SUM(D19:D21)</f>
        <v>201600</v>
      </c>
      <c r="E22" s="4"/>
    </row>
    <row r="23" spans="1:10">
      <c r="A23" s="5" t="s">
        <v>70</v>
      </c>
      <c r="D23" s="21">
        <f>-15000</f>
        <v>-15000</v>
      </c>
      <c r="E23" s="4"/>
    </row>
    <row r="24" spans="1:10">
      <c r="A24" s="5" t="s">
        <v>71</v>
      </c>
      <c r="D24" s="21">
        <v>17000</v>
      </c>
      <c r="E24" s="4"/>
    </row>
    <row r="25" spans="1:10" ht="16" thickBot="1">
      <c r="A25" s="1" t="s">
        <v>72</v>
      </c>
      <c r="B25" s="1"/>
      <c r="C25" s="1"/>
      <c r="D25" s="23">
        <f>D22+D23+D24</f>
        <v>203600</v>
      </c>
      <c r="E25" s="4"/>
    </row>
    <row r="26" spans="1:10" ht="16" thickTop="1"/>
    <row r="27" spans="1:10">
      <c r="A27" s="1" t="s">
        <v>92</v>
      </c>
    </row>
    <row r="28" spans="1:10">
      <c r="A28" s="24" t="s">
        <v>93</v>
      </c>
      <c r="B28" s="6"/>
      <c r="C28" s="6"/>
      <c r="D28" s="6"/>
      <c r="F28" s="24" t="s">
        <v>107</v>
      </c>
      <c r="G28" s="6"/>
      <c r="H28" s="6"/>
      <c r="I28" s="6"/>
      <c r="J28" s="6"/>
    </row>
    <row r="29" spans="1:10">
      <c r="C29" s="25" t="s">
        <v>73</v>
      </c>
      <c r="D29" s="25" t="s">
        <v>74</v>
      </c>
      <c r="I29" s="25" t="s">
        <v>73</v>
      </c>
      <c r="J29" s="25" t="s">
        <v>74</v>
      </c>
    </row>
    <row r="30" spans="1:10">
      <c r="A30" s="1" t="s">
        <v>94</v>
      </c>
      <c r="F30" s="1" t="s">
        <v>102</v>
      </c>
      <c r="I30" s="21"/>
    </row>
    <row r="31" spans="1:10">
      <c r="A31" s="5" t="s">
        <v>95</v>
      </c>
      <c r="C31" s="21">
        <v>340000</v>
      </c>
      <c r="F31" s="5" t="s">
        <v>26</v>
      </c>
      <c r="I31" s="21">
        <v>50000</v>
      </c>
    </row>
    <row r="32" spans="1:10">
      <c r="A32" s="5" t="s">
        <v>96</v>
      </c>
      <c r="C32" s="21">
        <v>180000</v>
      </c>
      <c r="D32" s="5" t="s">
        <v>109</v>
      </c>
      <c r="F32" s="5" t="s">
        <v>10</v>
      </c>
      <c r="I32" s="21">
        <v>14000</v>
      </c>
    </row>
    <row r="33" spans="1:10">
      <c r="A33" s="5" t="s">
        <v>108</v>
      </c>
      <c r="C33" s="21">
        <v>5000</v>
      </c>
      <c r="F33" s="5" t="s">
        <v>103</v>
      </c>
      <c r="I33" s="21">
        <v>8400</v>
      </c>
    </row>
    <row r="34" spans="1:10">
      <c r="A34" s="5" t="s">
        <v>97</v>
      </c>
      <c r="C34" s="21">
        <v>92000</v>
      </c>
      <c r="I34" s="22">
        <f>SUM(I31:I33)</f>
        <v>72400</v>
      </c>
    </row>
    <row r="35" spans="1:10">
      <c r="C35" s="22">
        <f>SUM(C31:C34)</f>
        <v>617000</v>
      </c>
      <c r="I35" s="21"/>
    </row>
    <row r="36" spans="1:10">
      <c r="C36" s="21"/>
      <c r="F36" s="1" t="s">
        <v>104</v>
      </c>
      <c r="I36" s="21"/>
    </row>
    <row r="37" spans="1:10">
      <c r="A37" s="1" t="s">
        <v>98</v>
      </c>
      <c r="C37" s="21"/>
      <c r="F37" s="5" t="s">
        <v>24</v>
      </c>
      <c r="I37" s="21">
        <v>25000</v>
      </c>
    </row>
    <row r="38" spans="1:10">
      <c r="A38" s="5" t="s">
        <v>99</v>
      </c>
      <c r="C38" s="21">
        <v>190000</v>
      </c>
      <c r="D38" s="5" t="s">
        <v>110</v>
      </c>
      <c r="I38" s="21"/>
    </row>
    <row r="39" spans="1:10">
      <c r="A39" s="5" t="s">
        <v>100</v>
      </c>
      <c r="C39" s="21">
        <v>92000</v>
      </c>
      <c r="F39" s="1" t="s">
        <v>35</v>
      </c>
      <c r="I39" s="21"/>
    </row>
    <row r="40" spans="1:10">
      <c r="A40" s="5" t="s">
        <v>18</v>
      </c>
      <c r="C40" s="21">
        <v>30000</v>
      </c>
      <c r="F40" s="5" t="s">
        <v>2</v>
      </c>
      <c r="I40" s="21">
        <f>60000</f>
        <v>60000</v>
      </c>
    </row>
    <row r="41" spans="1:10">
      <c r="C41" s="22">
        <f>SUM(C38:C40)</f>
        <v>312000</v>
      </c>
      <c r="F41" s="5" t="s">
        <v>105</v>
      </c>
      <c r="I41" s="21">
        <f>568000+D25</f>
        <v>771600</v>
      </c>
      <c r="J41" s="5" t="s">
        <v>111</v>
      </c>
    </row>
    <row r="42" spans="1:10">
      <c r="C42" s="21"/>
      <c r="I42" s="22">
        <f>I40+I41</f>
        <v>831600</v>
      </c>
    </row>
    <row r="43" spans="1:10">
      <c r="I43" s="21"/>
    </row>
    <row r="44" spans="1:10" ht="16" thickBot="1">
      <c r="A44" s="1" t="s">
        <v>101</v>
      </c>
      <c r="B44" s="1"/>
      <c r="C44" s="23">
        <f>C35+C41</f>
        <v>929000</v>
      </c>
      <c r="D44" s="1"/>
      <c r="F44" s="1" t="s">
        <v>106</v>
      </c>
      <c r="G44" s="1"/>
      <c r="H44" s="1"/>
      <c r="I44" s="23">
        <f>I34+I37+I42</f>
        <v>929000</v>
      </c>
    </row>
    <row r="45" spans="1:10" ht="16" thickTop="1">
      <c r="C45" s="21"/>
    </row>
    <row r="46" spans="1:10">
      <c r="A46" s="1" t="s">
        <v>79</v>
      </c>
    </row>
    <row r="48" spans="1:10">
      <c r="A48" s="5" t="s">
        <v>80</v>
      </c>
    </row>
    <row r="49" spans="1:5">
      <c r="E49" s="6" t="s">
        <v>41</v>
      </c>
    </row>
    <row r="50" spans="1:5">
      <c r="B50" s="5" t="s">
        <v>84</v>
      </c>
      <c r="E50" s="21">
        <v>880000</v>
      </c>
    </row>
    <row r="51" spans="1:5">
      <c r="B51" s="5" t="s">
        <v>12</v>
      </c>
      <c r="E51" s="21">
        <v>-30000</v>
      </c>
    </row>
    <row r="52" spans="1:5">
      <c r="B52" s="5" t="s">
        <v>23</v>
      </c>
      <c r="E52" s="21">
        <v>-30000</v>
      </c>
    </row>
    <row r="53" spans="1:5">
      <c r="E53" s="22">
        <f>SUM(E50:E52)</f>
        <v>820000</v>
      </c>
    </row>
    <row r="54" spans="1:5">
      <c r="A54" s="5" t="s">
        <v>81</v>
      </c>
      <c r="E54" s="21"/>
    </row>
    <row r="56" spans="1:5">
      <c r="B56" s="5" t="s">
        <v>22</v>
      </c>
      <c r="E56" s="21">
        <v>90000</v>
      </c>
    </row>
    <row r="57" spans="1:5">
      <c r="B57" s="5" t="s">
        <v>13</v>
      </c>
      <c r="E57" s="21">
        <v>240000</v>
      </c>
    </row>
    <row r="58" spans="1:5">
      <c r="B58" s="5" t="s">
        <v>85</v>
      </c>
      <c r="E58" s="21">
        <v>50000</v>
      </c>
    </row>
    <row r="59" spans="1:5">
      <c r="B59" s="5" t="s">
        <v>6</v>
      </c>
      <c r="E59" s="21">
        <v>-6000</v>
      </c>
    </row>
    <row r="60" spans="1:5">
      <c r="B60" s="5" t="s">
        <v>7</v>
      </c>
      <c r="E60" s="21">
        <v>-19000</v>
      </c>
    </row>
    <row r="61" spans="1:5">
      <c r="B61" s="5" t="s">
        <v>86</v>
      </c>
      <c r="E61" s="21">
        <v>-92000</v>
      </c>
    </row>
    <row r="62" spans="1:5">
      <c r="E62" s="22">
        <f>SUM(E56:E61)</f>
        <v>263000</v>
      </c>
    </row>
    <row r="63" spans="1:5">
      <c r="A63" s="5" t="s">
        <v>82</v>
      </c>
      <c r="E63" s="21"/>
    </row>
    <row r="64" spans="1:5">
      <c r="E64" s="6" t="s">
        <v>41</v>
      </c>
    </row>
    <row r="65" spans="1:5">
      <c r="B65" s="5" t="s">
        <v>3</v>
      </c>
      <c r="E65" s="21">
        <v>9000</v>
      </c>
    </row>
    <row r="66" spans="1:5">
      <c r="B66" s="5" t="s">
        <v>5</v>
      </c>
      <c r="E66" s="21">
        <v>14000</v>
      </c>
    </row>
    <row r="67" spans="1:5">
      <c r="E67" s="22">
        <f>SUM(E65:E66)</f>
        <v>23000</v>
      </c>
    </row>
    <row r="68" spans="1:5">
      <c r="A68" s="5" t="s">
        <v>83</v>
      </c>
      <c r="E68" s="21"/>
    </row>
    <row r="69" spans="1:5">
      <c r="E69" s="6" t="s">
        <v>41</v>
      </c>
    </row>
    <row r="70" spans="1:5">
      <c r="B70" s="5" t="s">
        <v>87</v>
      </c>
      <c r="E70" s="21">
        <v>180000</v>
      </c>
    </row>
    <row r="71" spans="1:5">
      <c r="B71" s="5" t="s">
        <v>43</v>
      </c>
      <c r="E71" s="21">
        <v>10000</v>
      </c>
    </row>
    <row r="72" spans="1:5">
      <c r="B72" s="5" t="s">
        <v>88</v>
      </c>
      <c r="E72" s="21">
        <v>11000</v>
      </c>
    </row>
    <row r="73" spans="1:5">
      <c r="B73" s="5" t="s">
        <v>89</v>
      </c>
      <c r="E73" s="21">
        <v>60000</v>
      </c>
    </row>
    <row r="74" spans="1:5">
      <c r="B74" s="5" t="s">
        <v>90</v>
      </c>
      <c r="E74" s="21">
        <v>32000</v>
      </c>
    </row>
    <row r="75" spans="1:5">
      <c r="B75" s="5" t="s">
        <v>91</v>
      </c>
      <c r="E75" s="21">
        <v>20400</v>
      </c>
    </row>
    <row r="76" spans="1:5">
      <c r="B76" s="5" t="s">
        <v>56</v>
      </c>
      <c r="E76" s="21">
        <v>9000</v>
      </c>
    </row>
    <row r="77" spans="1:5">
      <c r="B77" s="5" t="s">
        <v>57</v>
      </c>
      <c r="E77" s="21">
        <v>10000</v>
      </c>
    </row>
    <row r="78" spans="1:5">
      <c r="E78" s="22">
        <f>SUM(E70:E77)</f>
        <v>332400</v>
      </c>
    </row>
    <row r="79" spans="1:5">
      <c r="A79" s="5" t="s">
        <v>112</v>
      </c>
    </row>
    <row r="80" spans="1:5">
      <c r="E80" s="6" t="s">
        <v>41</v>
      </c>
    </row>
    <row r="81" spans="1:5">
      <c r="B81" s="5" t="s">
        <v>27</v>
      </c>
      <c r="E81" s="21">
        <v>200000</v>
      </c>
    </row>
    <row r="82" spans="1:5">
      <c r="B82" s="5" t="s">
        <v>44</v>
      </c>
      <c r="E82" s="21">
        <v>-20000</v>
      </c>
    </row>
    <row r="83" spans="1:5">
      <c r="E83" s="22">
        <f>SUM(E81:E82)</f>
        <v>180000</v>
      </c>
    </row>
    <row r="84" spans="1:5">
      <c r="A84" s="5" t="s">
        <v>113</v>
      </c>
      <c r="E84" s="21"/>
    </row>
    <row r="85" spans="1:5">
      <c r="C85" s="5" t="s">
        <v>115</v>
      </c>
      <c r="D85" s="5" t="s">
        <v>116</v>
      </c>
      <c r="E85" s="5" t="s">
        <v>117</v>
      </c>
    </row>
    <row r="86" spans="1:5">
      <c r="C86" s="26" t="s">
        <v>41</v>
      </c>
      <c r="D86" s="6" t="s">
        <v>41</v>
      </c>
      <c r="E86" s="6" t="s">
        <v>41</v>
      </c>
    </row>
    <row r="87" spans="1:5">
      <c r="B87" s="5" t="s">
        <v>118</v>
      </c>
      <c r="C87" s="21">
        <v>100000</v>
      </c>
      <c r="D87" s="21">
        <f>-20000</f>
        <v>-20000</v>
      </c>
      <c r="E87" s="21">
        <f>C87+D87</f>
        <v>80000</v>
      </c>
    </row>
    <row r="88" spans="1:5">
      <c r="B88" s="5" t="s">
        <v>119</v>
      </c>
      <c r="C88" s="21">
        <v>140000</v>
      </c>
      <c r="D88" s="21">
        <f>-30000</f>
        <v>-30000</v>
      </c>
      <c r="E88" s="21">
        <f>C88+D88</f>
        <v>110000</v>
      </c>
    </row>
    <row r="89" spans="1:5">
      <c r="B89" s="5" t="s">
        <v>120</v>
      </c>
      <c r="C89" s="22">
        <f>SUM(C87:C88)</f>
        <v>240000</v>
      </c>
      <c r="D89" s="22">
        <f>SUM(D87:D88)</f>
        <v>-50000</v>
      </c>
      <c r="E89" s="22">
        <f>SUM(E87:E88)</f>
        <v>190000</v>
      </c>
    </row>
    <row r="90" spans="1:5">
      <c r="A90" s="5" t="s">
        <v>114</v>
      </c>
      <c r="E90" s="21"/>
    </row>
    <row r="91" spans="1:5">
      <c r="C91" s="26" t="s">
        <v>41</v>
      </c>
      <c r="E91" s="21"/>
    </row>
    <row r="92" spans="1:5">
      <c r="B92" s="5" t="s">
        <v>121</v>
      </c>
      <c r="C92" s="21">
        <f>568000</f>
        <v>568000</v>
      </c>
      <c r="E92" s="21"/>
    </row>
    <row r="93" spans="1:5">
      <c r="B93" s="5" t="s">
        <v>72</v>
      </c>
      <c r="C93" s="20">
        <f>D25</f>
        <v>203600</v>
      </c>
      <c r="E93" s="21"/>
    </row>
    <row r="94" spans="1:5">
      <c r="C94" s="22">
        <f>SUM(C92:C93)</f>
        <v>771600</v>
      </c>
      <c r="E94" s="21"/>
    </row>
    <row r="95" spans="1:5">
      <c r="E95" s="21"/>
    </row>
    <row r="96" spans="1:5">
      <c r="E96" s="21"/>
    </row>
  </sheetData>
  <pageMargins left="0.7" right="0.7" top="0.75" bottom="0.75" header="0.3" footer="0.3"/>
  <pageSetup scale="92" fitToHeight="0" orientation="portrait" r:id="rId1"/>
  <rowBreaks count="1" manualBreakCount="1">
    <brk id="45" max="16383" man="1"/>
  </rowBreaks>
  <ignoredErrors>
    <ignoredError sqref="E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rightToLeft="1" view="pageBreakPreview" topLeftCell="A16" zoomScaleNormal="100" zoomScaleSheetLayoutView="100" workbookViewId="0">
      <selection activeCell="C32" sqref="C31:C32"/>
    </sheetView>
  </sheetViews>
  <sheetFormatPr defaultColWidth="9" defaultRowHeight="15.5"/>
  <cols>
    <col min="1" max="1" width="10.83203125" style="5" customWidth="1"/>
    <col min="2" max="16384" width="9" style="5"/>
  </cols>
  <sheetData>
    <row r="1" spans="1:7" ht="23">
      <c r="A1" s="18" t="s">
        <v>122</v>
      </c>
    </row>
    <row r="3" spans="1:7" ht="18">
      <c r="A3" s="17" t="s">
        <v>123</v>
      </c>
    </row>
    <row r="4" spans="1:7">
      <c r="A4" s="5" t="s">
        <v>124</v>
      </c>
      <c r="E4" s="21">
        <v>19000</v>
      </c>
    </row>
    <row r="5" spans="1:7">
      <c r="A5" s="5" t="s">
        <v>125</v>
      </c>
      <c r="E5" s="21">
        <v>38000</v>
      </c>
    </row>
    <row r="6" spans="1:7">
      <c r="A6" s="5" t="s">
        <v>126</v>
      </c>
      <c r="E6" s="21">
        <f>E4</f>
        <v>19000</v>
      </c>
    </row>
    <row r="7" spans="1:7">
      <c r="A7" s="5" t="s">
        <v>127</v>
      </c>
      <c r="E7" s="5">
        <v>19</v>
      </c>
    </row>
    <row r="8" spans="1:7">
      <c r="A8" s="5" t="s">
        <v>129</v>
      </c>
      <c r="E8" s="32">
        <f>E6/E7</f>
        <v>1000</v>
      </c>
      <c r="G8" s="5" t="s">
        <v>128</v>
      </c>
    </row>
    <row r="10" spans="1:7" ht="18">
      <c r="A10" s="17" t="s">
        <v>130</v>
      </c>
    </row>
    <row r="11" spans="1:7">
      <c r="A11" s="6" t="s">
        <v>131</v>
      </c>
      <c r="B11" s="6" t="s">
        <v>132</v>
      </c>
      <c r="C11" s="6" t="s">
        <v>133</v>
      </c>
    </row>
    <row r="12" spans="1:7">
      <c r="A12" s="35">
        <v>43101</v>
      </c>
      <c r="B12" s="21">
        <v>1000</v>
      </c>
      <c r="C12" s="5">
        <v>19</v>
      </c>
    </row>
    <row r="13" spans="1:7">
      <c r="A13" s="35" t="s">
        <v>134</v>
      </c>
      <c r="B13" s="21">
        <v>1900</v>
      </c>
      <c r="C13" s="34">
        <f>(B12*C12+900*24)/B13</f>
        <v>21.368421052631579</v>
      </c>
    </row>
    <row r="14" spans="1:7">
      <c r="A14" s="35" t="s">
        <v>135</v>
      </c>
      <c r="B14" s="21">
        <f>B13-1400</f>
        <v>500</v>
      </c>
      <c r="C14" s="34">
        <f>C13</f>
        <v>21.368421052631579</v>
      </c>
    </row>
    <row r="15" spans="1:7">
      <c r="A15" s="35" t="s">
        <v>136</v>
      </c>
      <c r="B15" s="21">
        <f>B14+200</f>
        <v>700</v>
      </c>
      <c r="C15" s="34">
        <f>(B14*C14+200*28)/B15</f>
        <v>23.263157894736842</v>
      </c>
    </row>
    <row r="16" spans="1:7">
      <c r="A16" s="35" t="s">
        <v>137</v>
      </c>
      <c r="B16" s="21">
        <f>B15-50</f>
        <v>650</v>
      </c>
      <c r="C16" s="34">
        <f>C15</f>
        <v>23.263157894736842</v>
      </c>
    </row>
    <row r="17" spans="1:7">
      <c r="A17" s="35">
        <v>43415</v>
      </c>
      <c r="B17" s="21">
        <f>B16+700</f>
        <v>1350</v>
      </c>
      <c r="C17" s="34">
        <f>(B16*C16+700*29)/B17</f>
        <v>26.237816764132553</v>
      </c>
    </row>
    <row r="18" spans="1:7">
      <c r="A18" s="35" t="s">
        <v>138</v>
      </c>
      <c r="B18" s="21">
        <f>B17-600</f>
        <v>750</v>
      </c>
      <c r="C18" s="34">
        <f>C17</f>
        <v>26.237816764132553</v>
      </c>
    </row>
    <row r="19" spans="1:7">
      <c r="A19" s="33"/>
    </row>
    <row r="20" spans="1:7">
      <c r="A20" s="33" t="s">
        <v>140</v>
      </c>
    </row>
    <row r="21" spans="1:7">
      <c r="A21" s="33" t="s">
        <v>141</v>
      </c>
    </row>
    <row r="22" spans="1:7">
      <c r="A22" s="33" t="s">
        <v>142</v>
      </c>
    </row>
    <row r="23" spans="1:7">
      <c r="A23" s="33"/>
    </row>
    <row r="24" spans="1:7">
      <c r="A24" s="33" t="s">
        <v>143</v>
      </c>
      <c r="E24" s="32">
        <f>B18*C18</f>
        <v>19678.362573099414</v>
      </c>
      <c r="G24" s="5" t="s">
        <v>139</v>
      </c>
    </row>
    <row r="25" spans="1:7">
      <c r="A25" s="33"/>
    </row>
    <row r="26" spans="1:7" ht="18">
      <c r="A26" s="17" t="s">
        <v>144</v>
      </c>
    </row>
    <row r="27" spans="1:7">
      <c r="A27" s="33"/>
      <c r="B27" s="6" t="s">
        <v>41</v>
      </c>
    </row>
    <row r="28" spans="1:7">
      <c r="A28" s="33" t="s">
        <v>17</v>
      </c>
      <c r="B28" s="5">
        <f>1400*50+50*45+600*40</f>
        <v>96250</v>
      </c>
    </row>
    <row r="29" spans="1:7">
      <c r="A29" s="5" t="s">
        <v>36</v>
      </c>
      <c r="B29" s="20">
        <f>-B39</f>
        <v>-46821.63742690059</v>
      </c>
    </row>
    <row r="30" spans="1:7">
      <c r="A30" s="5" t="s">
        <v>66</v>
      </c>
      <c r="B30" s="37">
        <f>SUM(B28:B29)</f>
        <v>49428.36257309941</v>
      </c>
    </row>
    <row r="34" spans="1:2">
      <c r="A34" s="1" t="s">
        <v>145</v>
      </c>
    </row>
    <row r="35" spans="1:2">
      <c r="B35" s="6" t="s">
        <v>41</v>
      </c>
    </row>
    <row r="36" spans="1:2">
      <c r="A36" s="5" t="s">
        <v>22</v>
      </c>
      <c r="B36" s="20">
        <f>19000</f>
        <v>19000</v>
      </c>
    </row>
    <row r="37" spans="1:2">
      <c r="A37" s="5" t="s">
        <v>146</v>
      </c>
      <c r="B37" s="20">
        <f>900*24+200*28+700*29</f>
        <v>47500</v>
      </c>
    </row>
    <row r="38" spans="1:2">
      <c r="A38" s="5" t="s">
        <v>86</v>
      </c>
      <c r="B38" s="20">
        <f>-E24</f>
        <v>-19678.362573099414</v>
      </c>
    </row>
    <row r="39" spans="1:2">
      <c r="B39" s="36">
        <f>SUM(B36:B38)</f>
        <v>46821.63742690059</v>
      </c>
    </row>
    <row r="41" spans="1:2" ht="18">
      <c r="A41" s="17" t="s">
        <v>147</v>
      </c>
    </row>
    <row r="42" spans="1:2">
      <c r="A42" s="5" t="s">
        <v>148</v>
      </c>
    </row>
    <row r="43" spans="1:2">
      <c r="A43" s="5" t="s">
        <v>149</v>
      </c>
    </row>
    <row r="44" spans="1:2">
      <c r="A44" s="5" t="s">
        <v>150</v>
      </c>
    </row>
    <row r="45" spans="1:2">
      <c r="A45" s="5" t="s">
        <v>151</v>
      </c>
    </row>
    <row r="46" spans="1:2">
      <c r="A46" s="5" t="s">
        <v>152</v>
      </c>
    </row>
  </sheetData>
  <pageMargins left="0.7" right="0.7" top="0.75" bottom="0.75" header="0.3" footer="0.3"/>
  <pageSetup scale="95" orientation="portrait" r:id="rId1"/>
  <ignoredErrors>
    <ignoredError sqref="C15 C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rightToLeft="1" topLeftCell="A55" workbookViewId="0">
      <selection activeCell="J55" sqref="J55"/>
    </sheetView>
  </sheetViews>
  <sheetFormatPr defaultColWidth="9" defaultRowHeight="15.5"/>
  <cols>
    <col min="1" max="16384" width="9" style="5"/>
  </cols>
  <sheetData>
    <row r="1" spans="1:7" ht="23">
      <c r="A1" s="18" t="s">
        <v>153</v>
      </c>
    </row>
    <row r="3" spans="1:7" ht="18">
      <c r="A3" s="17" t="s">
        <v>154</v>
      </c>
    </row>
    <row r="4" spans="1:7">
      <c r="A4" s="5" t="s">
        <v>155</v>
      </c>
      <c r="E4" s="21">
        <v>80000</v>
      </c>
    </row>
    <row r="5" spans="1:7">
      <c r="A5" s="5" t="s">
        <v>156</v>
      </c>
      <c r="E5" s="21">
        <v>5</v>
      </c>
    </row>
    <row r="6" spans="1:7">
      <c r="A6" s="5" t="s">
        <v>157</v>
      </c>
      <c r="E6" s="21">
        <f>E4/E5</f>
        <v>16000</v>
      </c>
      <c r="G6" s="5" t="s">
        <v>158</v>
      </c>
    </row>
    <row r="7" spans="1:7">
      <c r="A7" s="5" t="s">
        <v>159</v>
      </c>
      <c r="E7" s="21">
        <v>32000</v>
      </c>
    </row>
    <row r="8" spans="1:7">
      <c r="A8" s="5" t="s">
        <v>160</v>
      </c>
      <c r="E8" s="21">
        <f>E7/E6</f>
        <v>2</v>
      </c>
      <c r="G8" s="5" t="s">
        <v>161</v>
      </c>
    </row>
    <row r="9" spans="1:7">
      <c r="A9" s="5" t="s">
        <v>162</v>
      </c>
    </row>
    <row r="10" spans="1:7">
      <c r="A10" s="5" t="s">
        <v>163</v>
      </c>
    </row>
    <row r="12" spans="1:7" ht="18">
      <c r="A12" s="17" t="s">
        <v>164</v>
      </c>
    </row>
    <row r="13" spans="1:7">
      <c r="A13" s="5" t="s">
        <v>167</v>
      </c>
    </row>
    <row r="14" spans="1:7">
      <c r="A14" s="5" t="s">
        <v>172</v>
      </c>
      <c r="E14" s="21">
        <f>35000/5</f>
        <v>7000</v>
      </c>
      <c r="G14" s="5" t="s">
        <v>165</v>
      </c>
    </row>
    <row r="16" spans="1:7">
      <c r="A16" s="5" t="s">
        <v>166</v>
      </c>
    </row>
    <row r="17" spans="1:8">
      <c r="A17" s="5" t="s">
        <v>168</v>
      </c>
      <c r="D17" s="5">
        <f>10*11/2</f>
        <v>55</v>
      </c>
      <c r="H17" s="5" t="s">
        <v>169</v>
      </c>
    </row>
    <row r="18" spans="1:8">
      <c r="A18" s="5" t="s">
        <v>170</v>
      </c>
      <c r="D18" s="21">
        <f>(30000-5000)*(7*9/12+6*3/12)/55</f>
        <v>3068.181818181818</v>
      </c>
      <c r="H18" s="5" t="s">
        <v>171</v>
      </c>
    </row>
    <row r="20" spans="1:8" ht="18">
      <c r="A20" s="17" t="s">
        <v>173</v>
      </c>
    </row>
    <row r="21" spans="1:8">
      <c r="D21" s="6" t="s">
        <v>41</v>
      </c>
    </row>
    <row r="22" spans="1:8">
      <c r="A22" s="5" t="s">
        <v>174</v>
      </c>
      <c r="D22" s="21">
        <v>24000</v>
      </c>
    </row>
    <row r="23" spans="1:8">
      <c r="A23" s="5" t="s">
        <v>175</v>
      </c>
      <c r="D23" s="21">
        <f>-D30</f>
        <v>-27000</v>
      </c>
    </row>
    <row r="24" spans="1:8">
      <c r="A24" s="5" t="s">
        <v>180</v>
      </c>
      <c r="D24" s="36">
        <f>SUM(D22:D23)</f>
        <v>-3000</v>
      </c>
    </row>
    <row r="26" spans="1:8">
      <c r="A26" s="5" t="s">
        <v>176</v>
      </c>
    </row>
    <row r="27" spans="1:8">
      <c r="D27" s="6" t="s">
        <v>41</v>
      </c>
    </row>
    <row r="28" spans="1:8">
      <c r="B28" s="5" t="s">
        <v>115</v>
      </c>
      <c r="D28" s="38">
        <v>45000</v>
      </c>
      <c r="H28" s="5" t="s">
        <v>178</v>
      </c>
    </row>
    <row r="29" spans="1:8">
      <c r="B29" s="5" t="s">
        <v>116</v>
      </c>
      <c r="D29" s="21">
        <f>-45000/5*2</f>
        <v>-18000</v>
      </c>
      <c r="H29" s="5" t="s">
        <v>179</v>
      </c>
    </row>
    <row r="30" spans="1:8">
      <c r="B30" s="5" t="s">
        <v>177</v>
      </c>
      <c r="D30" s="39">
        <f>SUM(D28:D29)</f>
        <v>27000</v>
      </c>
    </row>
    <row r="32" spans="1:8">
      <c r="A32" s="5" t="s">
        <v>181</v>
      </c>
    </row>
    <row r="33" spans="1:8">
      <c r="B33" s="5" t="s">
        <v>182</v>
      </c>
      <c r="D33" s="20">
        <f>D22</f>
        <v>24000</v>
      </c>
    </row>
    <row r="34" spans="1:8">
      <c r="B34" s="5" t="s">
        <v>184</v>
      </c>
      <c r="D34" s="20">
        <f>-D29</f>
        <v>18000</v>
      </c>
    </row>
    <row r="35" spans="1:8">
      <c r="B35" s="5" t="s">
        <v>183</v>
      </c>
      <c r="D35" s="20">
        <f>-D24</f>
        <v>3000</v>
      </c>
    </row>
    <row r="36" spans="1:8">
      <c r="B36" s="5" t="s">
        <v>185</v>
      </c>
      <c r="D36" s="38">
        <f>D28</f>
        <v>45000</v>
      </c>
    </row>
    <row r="38" spans="1:8" ht="18">
      <c r="A38" s="17" t="s">
        <v>186</v>
      </c>
    </row>
    <row r="39" spans="1:8">
      <c r="D39" s="6" t="s">
        <v>187</v>
      </c>
      <c r="E39" s="6" t="s">
        <v>118</v>
      </c>
      <c r="F39" s="6" t="s">
        <v>119</v>
      </c>
      <c r="G39" s="6" t="s">
        <v>188</v>
      </c>
      <c r="H39" s="6" t="s">
        <v>120</v>
      </c>
    </row>
    <row r="40" spans="1:8">
      <c r="B40" s="5" t="s">
        <v>115</v>
      </c>
      <c r="D40" s="20">
        <v>35000</v>
      </c>
      <c r="E40" s="20">
        <f>5000+60000</f>
        <v>65000</v>
      </c>
      <c r="F40" s="20">
        <f>30000</f>
        <v>30000</v>
      </c>
      <c r="G40" s="20">
        <f>85000+50000-40000</f>
        <v>95000</v>
      </c>
      <c r="H40" s="20">
        <f>SUM(D40:G40)</f>
        <v>225000</v>
      </c>
    </row>
    <row r="41" spans="1:8">
      <c r="B41" s="5" t="s">
        <v>116</v>
      </c>
      <c r="D41" s="20">
        <f>-D45</f>
        <v>-21000</v>
      </c>
      <c r="E41" s="20">
        <f>-D46</f>
        <v>-11250</v>
      </c>
      <c r="F41" s="20">
        <f>-D47</f>
        <v>-16136.363636363638</v>
      </c>
      <c r="G41" s="20">
        <f>-D52</f>
        <v>-16428.571428571428</v>
      </c>
      <c r="H41" s="20">
        <f>SUM(D41:G41)</f>
        <v>-64814.935064935067</v>
      </c>
    </row>
    <row r="42" spans="1:8">
      <c r="B42" s="5" t="s">
        <v>177</v>
      </c>
      <c r="D42" s="39">
        <f>SUM(D40:D41)</f>
        <v>14000</v>
      </c>
      <c r="E42" s="39">
        <f t="shared" ref="E42:H42" si="0">SUM(E40:E41)</f>
        <v>53750</v>
      </c>
      <c r="F42" s="39">
        <f t="shared" si="0"/>
        <v>13863.636363636362</v>
      </c>
      <c r="G42" s="39">
        <f t="shared" si="0"/>
        <v>78571.42857142858</v>
      </c>
      <c r="H42" s="39">
        <f t="shared" si="0"/>
        <v>160185.06493506493</v>
      </c>
    </row>
    <row r="44" spans="1:8">
      <c r="A44" s="53" t="s">
        <v>189</v>
      </c>
    </row>
    <row r="45" spans="1:8">
      <c r="A45" s="5" t="s">
        <v>190</v>
      </c>
      <c r="D45" s="20">
        <f>35000/5*3</f>
        <v>21000</v>
      </c>
      <c r="H45" s="5" t="s">
        <v>193</v>
      </c>
    </row>
    <row r="46" spans="1:8">
      <c r="A46" s="5" t="s">
        <v>191</v>
      </c>
      <c r="D46" s="20">
        <f>5000+(60000-10000)/6*0.75</f>
        <v>11250</v>
      </c>
      <c r="H46" s="5" t="s">
        <v>218</v>
      </c>
    </row>
    <row r="47" spans="1:8">
      <c r="A47" s="5" t="s">
        <v>192</v>
      </c>
      <c r="D47" s="20">
        <f>(30000 - 5000) *((10+9+8+7+6*3/12)/55)</f>
        <v>16136.363636363638</v>
      </c>
      <c r="H47" s="5" t="s">
        <v>194</v>
      </c>
    </row>
    <row r="48" spans="1:8">
      <c r="D48" s="20"/>
    </row>
    <row r="49" spans="1:8">
      <c r="A49" s="5" t="s">
        <v>222</v>
      </c>
      <c r="D49" s="20"/>
    </row>
    <row r="50" spans="1:8">
      <c r="A50" s="5" t="s">
        <v>219</v>
      </c>
      <c r="D50" s="20">
        <f>30000/7*3</f>
        <v>12857.142857142855</v>
      </c>
      <c r="H50" s="5" t="s">
        <v>223</v>
      </c>
    </row>
    <row r="51" spans="1:8">
      <c r="A51" s="5" t="s">
        <v>220</v>
      </c>
      <c r="D51" s="52">
        <f>50000/7/2</f>
        <v>3571.4285714285716</v>
      </c>
      <c r="H51" s="5" t="s">
        <v>221</v>
      </c>
    </row>
    <row r="52" spans="1:8">
      <c r="D52" s="20">
        <f>SUM(D50:D51)</f>
        <v>16428.571428571428</v>
      </c>
    </row>
    <row r="53" spans="1:8">
      <c r="D53" s="20"/>
    </row>
    <row r="54" spans="1:8" ht="18">
      <c r="A54" s="17" t="s">
        <v>195</v>
      </c>
    </row>
    <row r="55" spans="1:8">
      <c r="A55" s="5" t="s">
        <v>196</v>
      </c>
    </row>
    <row r="56" spans="1:8">
      <c r="A56" s="5" t="s">
        <v>197</v>
      </c>
    </row>
    <row r="58" spans="1:8">
      <c r="A58" s="5" t="s">
        <v>198</v>
      </c>
      <c r="D58" s="5" t="s">
        <v>67</v>
      </c>
    </row>
    <row r="59" spans="1:8">
      <c r="A59" s="5" t="s">
        <v>199</v>
      </c>
      <c r="D59" s="5" t="s">
        <v>68</v>
      </c>
    </row>
    <row r="60" spans="1:8">
      <c r="A60" s="5" t="s">
        <v>200</v>
      </c>
      <c r="D60" s="5" t="s">
        <v>67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rightToLeft="1" tabSelected="1" zoomScaleNormal="100" zoomScaleSheetLayoutView="100" workbookViewId="0">
      <selection activeCell="B13" sqref="B13"/>
    </sheetView>
  </sheetViews>
  <sheetFormatPr defaultColWidth="9" defaultRowHeight="15.5"/>
  <cols>
    <col min="1" max="16384" width="9" style="5"/>
  </cols>
  <sheetData>
    <row r="1" spans="1:9" ht="23">
      <c r="A1" s="18" t="s">
        <v>201</v>
      </c>
    </row>
    <row r="3" spans="1:9" ht="18">
      <c r="A3" s="17" t="s">
        <v>202</v>
      </c>
    </row>
    <row r="4" spans="1:9">
      <c r="C4" s="54" t="s">
        <v>206</v>
      </c>
      <c r="D4" s="54"/>
      <c r="G4" s="54" t="s">
        <v>44</v>
      </c>
      <c r="H4" s="54"/>
    </row>
    <row r="5" spans="1:9">
      <c r="A5" s="5" t="s">
        <v>203</v>
      </c>
      <c r="C5" s="45">
        <v>500000</v>
      </c>
      <c r="D5" s="46">
        <v>400000</v>
      </c>
      <c r="E5" s="5" t="s">
        <v>205</v>
      </c>
      <c r="G5" s="42"/>
      <c r="H5" s="46">
        <f>C5*4%</f>
        <v>20000</v>
      </c>
      <c r="I5" s="5" t="s">
        <v>203</v>
      </c>
    </row>
    <row r="6" spans="1:9">
      <c r="A6" s="5" t="s">
        <v>204</v>
      </c>
      <c r="C6" s="47">
        <v>700000</v>
      </c>
      <c r="D6" s="48">
        <v>70000</v>
      </c>
      <c r="E6" s="5" t="s">
        <v>23</v>
      </c>
      <c r="G6" s="44"/>
      <c r="H6" s="48">
        <f>H7-H5</f>
        <v>9200</v>
      </c>
      <c r="I6" s="5" t="s">
        <v>207</v>
      </c>
    </row>
    <row r="7" spans="1:9">
      <c r="A7" s="5" t="s">
        <v>208</v>
      </c>
      <c r="C7" s="49">
        <f>C5+C6-D5-D6</f>
        <v>730000</v>
      </c>
      <c r="D7" s="46"/>
      <c r="G7" s="43"/>
      <c r="H7" s="46">
        <f>C7*4%</f>
        <v>29200</v>
      </c>
      <c r="I7" s="5" t="s">
        <v>208</v>
      </c>
    </row>
    <row r="10" spans="1:9">
      <c r="C10" s="54" t="s">
        <v>43</v>
      </c>
      <c r="D10" s="54"/>
    </row>
    <row r="11" spans="1:9">
      <c r="C11" s="42"/>
    </row>
    <row r="12" spans="1:9">
      <c r="A12" s="5" t="s">
        <v>43</v>
      </c>
      <c r="C12" s="47">
        <f>H6</f>
        <v>9200</v>
      </c>
      <c r="D12" s="6"/>
    </row>
    <row r="13" spans="1:9">
      <c r="C13" s="55"/>
    </row>
    <row r="15" spans="1:9" ht="18">
      <c r="A15" s="17" t="s">
        <v>209</v>
      </c>
    </row>
    <row r="16" spans="1:9">
      <c r="C16" s="54" t="s">
        <v>206</v>
      </c>
      <c r="D16" s="54"/>
    </row>
    <row r="17" spans="1:5">
      <c r="A17" s="5" t="s">
        <v>203</v>
      </c>
      <c r="C17" s="45">
        <f>C7</f>
        <v>730000</v>
      </c>
      <c r="D17" s="46"/>
    </row>
    <row r="18" spans="1:5">
      <c r="C18" s="47"/>
      <c r="D18" s="48"/>
    </row>
    <row r="19" spans="1:5">
      <c r="A19" s="5" t="s">
        <v>208</v>
      </c>
      <c r="C19" s="49">
        <f>200000+400000+100000+50000</f>
        <v>750000</v>
      </c>
      <c r="D19" s="46"/>
    </row>
    <row r="21" spans="1:5">
      <c r="C21" s="54" t="s">
        <v>44</v>
      </c>
      <c r="D21" s="54"/>
    </row>
    <row r="22" spans="1:5">
      <c r="C22" s="42"/>
      <c r="D22" s="46">
        <f>H7</f>
        <v>29200</v>
      </c>
      <c r="E22" s="5" t="s">
        <v>203</v>
      </c>
    </row>
    <row r="23" spans="1:5">
      <c r="A23" s="5" t="s">
        <v>210</v>
      </c>
      <c r="C23" s="49">
        <v>4000</v>
      </c>
      <c r="D23" s="46"/>
    </row>
    <row r="24" spans="1:5">
      <c r="C24" s="44"/>
      <c r="D24" s="48">
        <f>D25--C23-D22</f>
        <v>8300</v>
      </c>
      <c r="E24" s="5" t="s">
        <v>207</v>
      </c>
    </row>
    <row r="25" spans="1:5">
      <c r="C25" s="43"/>
      <c r="D25" s="46">
        <f>200000*0.02+400000*0.04+100000*0.06+50000*0.15</f>
        <v>33500</v>
      </c>
      <c r="E25" s="5" t="s">
        <v>208</v>
      </c>
    </row>
    <row r="27" spans="1:5">
      <c r="C27" s="54" t="s">
        <v>43</v>
      </c>
      <c r="D27" s="54"/>
    </row>
    <row r="28" spans="1:5">
      <c r="A28" s="5" t="s">
        <v>203</v>
      </c>
      <c r="C28" s="42">
        <v>0</v>
      </c>
    </row>
    <row r="29" spans="1:5">
      <c r="A29" s="5" t="s">
        <v>43</v>
      </c>
      <c r="C29" s="47">
        <f>D24</f>
        <v>8300</v>
      </c>
      <c r="D29" s="6"/>
    </row>
    <row r="30" spans="1:5">
      <c r="A30" s="5" t="s">
        <v>208</v>
      </c>
      <c r="C30" s="50">
        <f>C28+C29</f>
        <v>8300</v>
      </c>
    </row>
    <row r="32" spans="1:5" ht="18">
      <c r="A32" s="17" t="s">
        <v>211</v>
      </c>
    </row>
    <row r="33" spans="1:3">
      <c r="C33" s="6" t="s">
        <v>41</v>
      </c>
    </row>
    <row r="34" spans="1:3">
      <c r="A34" s="5" t="s">
        <v>27</v>
      </c>
      <c r="C34" s="46">
        <f>C19</f>
        <v>750000</v>
      </c>
    </row>
    <row r="35" spans="1:3">
      <c r="A35" s="5" t="s">
        <v>44</v>
      </c>
      <c r="C35" s="46">
        <f>-D25</f>
        <v>-33500</v>
      </c>
    </row>
    <row r="36" spans="1:3">
      <c r="A36" s="5" t="s">
        <v>96</v>
      </c>
      <c r="C36" s="51">
        <f>C34+C35</f>
        <v>716500</v>
      </c>
    </row>
    <row r="38" spans="1:3" ht="18">
      <c r="A38" s="17" t="s">
        <v>212</v>
      </c>
    </row>
    <row r="39" spans="1:3">
      <c r="A39" s="5" t="s">
        <v>213</v>
      </c>
    </row>
    <row r="40" spans="1:3">
      <c r="A40" s="5" t="s">
        <v>214</v>
      </c>
    </row>
    <row r="41" spans="1:3">
      <c r="A41" s="5" t="s">
        <v>215</v>
      </c>
    </row>
    <row r="42" spans="1:3">
      <c r="A42" s="5" t="s">
        <v>216</v>
      </c>
    </row>
    <row r="43" spans="1:3">
      <c r="A43" s="5" t="s">
        <v>217</v>
      </c>
    </row>
  </sheetData>
  <mergeCells count="6">
    <mergeCell ref="C27:D27"/>
    <mergeCell ref="C4:D4"/>
    <mergeCell ref="G4:H4"/>
    <mergeCell ref="C10:D10"/>
    <mergeCell ref="C16:D16"/>
    <mergeCell ref="C21:D21"/>
  </mergeCells>
  <pageMargins left="0.7" right="0.7" top="0.75" bottom="0.75" header="0.3" footer="0.3"/>
  <pageSetup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94"/>
  <sheetViews>
    <sheetView rightToLeft="1" topLeftCell="A59" zoomScaleNormal="100" workbookViewId="0">
      <selection activeCell="A84" sqref="A84"/>
    </sheetView>
  </sheetViews>
  <sheetFormatPr defaultColWidth="9" defaultRowHeight="15.5"/>
  <cols>
    <col min="1" max="1" width="37.75" style="5" customWidth="1"/>
    <col min="2" max="1024" width="10.58203125" style="5" customWidth="1"/>
    <col min="1025" max="16384" width="9" style="2"/>
  </cols>
  <sheetData>
    <row r="1" spans="1:1024">
      <c r="A1" s="1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</row>
    <row r="2" spans="1:1024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</row>
    <row r="3" spans="1:1024" ht="31">
      <c r="A3" s="6"/>
      <c r="B3" s="6" t="s">
        <v>41</v>
      </c>
      <c r="C3" s="7" t="s">
        <v>31</v>
      </c>
      <c r="D3" s="7" t="s">
        <v>32</v>
      </c>
      <c r="E3" s="7" t="s">
        <v>33</v>
      </c>
      <c r="F3" s="7" t="s">
        <v>34</v>
      </c>
      <c r="G3" s="6" t="s">
        <v>35</v>
      </c>
      <c r="H3" s="6" t="s">
        <v>17</v>
      </c>
      <c r="I3" s="6" t="s">
        <v>36</v>
      </c>
      <c r="J3" s="7" t="s">
        <v>37</v>
      </c>
      <c r="K3" s="7" t="s">
        <v>38</v>
      </c>
      <c r="L3" s="7" t="s">
        <v>39</v>
      </c>
      <c r="M3" s="7" t="s">
        <v>40</v>
      </c>
    </row>
    <row r="4" spans="1:1024">
      <c r="A4" s="4" t="s">
        <v>0</v>
      </c>
      <c r="B4" s="8">
        <v>50000</v>
      </c>
      <c r="C4" s="9"/>
      <c r="D4" s="9"/>
      <c r="E4" s="9"/>
      <c r="F4" s="9"/>
      <c r="G4" s="9"/>
      <c r="H4" s="9"/>
      <c r="I4" s="9">
        <f>B4</f>
        <v>50000</v>
      </c>
      <c r="J4" s="9"/>
      <c r="K4" s="9"/>
      <c r="L4" s="9"/>
      <c r="M4" s="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</row>
    <row r="5" spans="1:1024">
      <c r="A5" s="4" t="s">
        <v>1</v>
      </c>
      <c r="B5" s="8">
        <v>180000</v>
      </c>
      <c r="C5" s="9"/>
      <c r="D5" s="9"/>
      <c r="E5" s="9"/>
      <c r="F5" s="9"/>
      <c r="G5" s="9"/>
      <c r="H5" s="9"/>
      <c r="I5" s="9"/>
      <c r="J5" s="9"/>
      <c r="K5" s="9">
        <f>B5</f>
        <v>180000</v>
      </c>
      <c r="L5" s="9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</row>
    <row r="6" spans="1:1024">
      <c r="A6" s="4" t="s">
        <v>42</v>
      </c>
      <c r="B6" s="8">
        <v>340000</v>
      </c>
      <c r="C6" s="9">
        <f>B6</f>
        <v>340000</v>
      </c>
      <c r="D6" s="9"/>
      <c r="E6" s="9"/>
      <c r="F6" s="9"/>
      <c r="G6" s="9"/>
      <c r="H6" s="9"/>
      <c r="I6" s="9"/>
      <c r="J6" s="9"/>
      <c r="K6" s="9"/>
      <c r="L6" s="9"/>
      <c r="M6" s="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</row>
    <row r="7" spans="1:1024">
      <c r="A7" s="4" t="s">
        <v>2</v>
      </c>
      <c r="B7" s="8">
        <v>60000</v>
      </c>
      <c r="C7" s="9"/>
      <c r="D7" s="9"/>
      <c r="E7" s="9"/>
      <c r="F7" s="9"/>
      <c r="G7" s="9">
        <f>B7</f>
        <v>60000</v>
      </c>
      <c r="H7" s="9"/>
      <c r="I7" s="9"/>
      <c r="J7" s="9"/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</row>
    <row r="8" spans="1:1024">
      <c r="A8" s="4" t="s">
        <v>3</v>
      </c>
      <c r="B8" s="8">
        <v>18000</v>
      </c>
      <c r="C8" s="9"/>
      <c r="D8" s="9"/>
      <c r="E8" s="9"/>
      <c r="F8" s="9"/>
      <c r="G8" s="9"/>
      <c r="H8" s="9"/>
      <c r="I8" s="9"/>
      <c r="J8" s="9">
        <f>B8</f>
        <v>18000</v>
      </c>
      <c r="K8" s="9"/>
      <c r="L8" s="9"/>
      <c r="M8" s="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</row>
    <row r="9" spans="1:1024">
      <c r="A9" s="5" t="s">
        <v>43</v>
      </c>
      <c r="B9" s="8">
        <v>10000</v>
      </c>
      <c r="C9" s="9"/>
      <c r="D9" s="9"/>
      <c r="E9" s="9"/>
      <c r="F9" s="9"/>
      <c r="G9" s="9"/>
      <c r="H9" s="9"/>
      <c r="I9" s="9"/>
      <c r="J9" s="9"/>
      <c r="K9" s="9">
        <f>B9</f>
        <v>10000</v>
      </c>
      <c r="L9" s="9"/>
      <c r="M9" s="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</row>
    <row r="10" spans="1:1024">
      <c r="A10" s="5" t="s">
        <v>4</v>
      </c>
      <c r="B10" s="8">
        <v>15000</v>
      </c>
      <c r="C10" s="9">
        <f>B10</f>
        <v>15000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</row>
    <row r="11" spans="1:1024">
      <c r="A11" s="5" t="s">
        <v>5</v>
      </c>
      <c r="B11" s="8">
        <v>14000</v>
      </c>
      <c r="C11" s="9"/>
      <c r="D11" s="9"/>
      <c r="E11" s="9"/>
      <c r="F11" s="9"/>
      <c r="G11" s="9"/>
      <c r="H11" s="9"/>
      <c r="I11" s="9"/>
      <c r="J11" s="9">
        <f>B11</f>
        <v>14000</v>
      </c>
      <c r="K11" s="9"/>
      <c r="L11" s="9"/>
      <c r="M11" s="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</row>
    <row r="12" spans="1:1024">
      <c r="A12" s="5" t="s">
        <v>6</v>
      </c>
      <c r="B12" s="8">
        <v>6000</v>
      </c>
      <c r="C12" s="9"/>
      <c r="D12" s="9"/>
      <c r="E12" s="9"/>
      <c r="F12" s="9"/>
      <c r="G12" s="9"/>
      <c r="H12" s="9"/>
      <c r="I12" s="9">
        <f>-B12</f>
        <v>-6000</v>
      </c>
      <c r="J12" s="9"/>
      <c r="K12" s="9"/>
      <c r="L12" s="9"/>
      <c r="M12" s="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</row>
    <row r="13" spans="1:1024">
      <c r="A13" s="5" t="s">
        <v>7</v>
      </c>
      <c r="B13" s="8">
        <v>19000</v>
      </c>
      <c r="C13" s="9"/>
      <c r="D13" s="9"/>
      <c r="E13" s="9"/>
      <c r="F13" s="9"/>
      <c r="G13" s="9"/>
      <c r="H13" s="9"/>
      <c r="I13" s="9">
        <f>-B13</f>
        <v>-19000</v>
      </c>
      <c r="J13" s="9"/>
      <c r="K13" s="9"/>
      <c r="L13" s="9"/>
      <c r="M13" s="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</row>
    <row r="14" spans="1:1024">
      <c r="A14" s="5" t="s">
        <v>8</v>
      </c>
      <c r="B14" s="8">
        <v>11000</v>
      </c>
      <c r="C14" s="9"/>
      <c r="D14" s="9"/>
      <c r="E14" s="9"/>
      <c r="F14" s="9"/>
      <c r="G14" s="9"/>
      <c r="H14" s="9"/>
      <c r="I14" s="9"/>
      <c r="J14" s="9"/>
      <c r="K14" s="9">
        <f>B14</f>
        <v>11000</v>
      </c>
      <c r="L14" s="9"/>
      <c r="M14" s="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spans="1:1024">
      <c r="A15" s="5" t="s">
        <v>9</v>
      </c>
      <c r="B15" s="8">
        <v>30000</v>
      </c>
      <c r="C15" s="9"/>
      <c r="D15" s="9">
        <f>-B15</f>
        <v>-30000</v>
      </c>
      <c r="E15" s="9"/>
      <c r="F15" s="9"/>
      <c r="G15" s="9"/>
      <c r="H15" s="9"/>
      <c r="I15" s="9"/>
      <c r="J15" s="9"/>
      <c r="K15" s="9"/>
      <c r="L15" s="9"/>
      <c r="M15" s="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</row>
    <row r="16" spans="1:1024">
      <c r="A16" s="5" t="s">
        <v>10</v>
      </c>
      <c r="B16" s="8">
        <v>14000</v>
      </c>
      <c r="C16" s="9"/>
      <c r="D16" s="9"/>
      <c r="E16" s="9">
        <f>B16</f>
        <v>14000</v>
      </c>
      <c r="F16" s="9"/>
      <c r="G16" s="9"/>
      <c r="H16" s="9"/>
      <c r="I16" s="9"/>
      <c r="J16" s="9"/>
      <c r="K16" s="9"/>
      <c r="L16" s="9"/>
      <c r="M16" s="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</row>
    <row r="17" spans="1:13" s="2" customFormat="1">
      <c r="A17" s="5" t="s">
        <v>44</v>
      </c>
      <c r="B17" s="8">
        <v>20000</v>
      </c>
      <c r="C17" s="9">
        <f>-B17</f>
        <v>-20000</v>
      </c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s="2" customFormat="1">
      <c r="A18" s="5" t="s">
        <v>11</v>
      </c>
      <c r="B18" s="8">
        <v>17000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>
        <f>B18</f>
        <v>17000</v>
      </c>
    </row>
    <row r="19" spans="1:13" s="2" customFormat="1">
      <c r="A19" s="5" t="s">
        <v>12</v>
      </c>
      <c r="B19" s="8">
        <v>30000</v>
      </c>
      <c r="C19" s="9"/>
      <c r="D19" s="9"/>
      <c r="E19" s="9"/>
      <c r="F19" s="9"/>
      <c r="G19" s="9"/>
      <c r="H19" s="9">
        <f>-B19</f>
        <v>-30000</v>
      </c>
      <c r="I19" s="9"/>
      <c r="J19" s="9"/>
      <c r="K19" s="9"/>
      <c r="L19" s="9"/>
      <c r="M19" s="9"/>
    </row>
    <row r="20" spans="1:13" s="2" customFormat="1">
      <c r="A20" s="5" t="s">
        <v>13</v>
      </c>
      <c r="B20" s="8">
        <v>240000</v>
      </c>
      <c r="C20" s="9"/>
      <c r="D20" s="9"/>
      <c r="E20" s="9"/>
      <c r="F20" s="9"/>
      <c r="G20" s="9"/>
      <c r="H20" s="9"/>
      <c r="I20" s="9">
        <f>B20</f>
        <v>240000</v>
      </c>
      <c r="J20" s="9"/>
      <c r="K20" s="9"/>
      <c r="L20" s="9"/>
      <c r="M20" s="9"/>
    </row>
    <row r="21" spans="1:13" s="2" customFormat="1">
      <c r="A21" s="5" t="s">
        <v>14</v>
      </c>
      <c r="B21" s="8">
        <v>20000</v>
      </c>
      <c r="C21" s="9"/>
      <c r="D21" s="9">
        <f>-B21</f>
        <v>-20000</v>
      </c>
      <c r="E21" s="9"/>
      <c r="F21" s="9"/>
      <c r="G21" s="9"/>
      <c r="H21" s="9"/>
      <c r="I21" s="9"/>
      <c r="J21" s="9"/>
      <c r="K21" s="9"/>
      <c r="L21" s="9"/>
      <c r="M21" s="9"/>
    </row>
    <row r="22" spans="1:13" s="2" customFormat="1">
      <c r="A22" s="5" t="s">
        <v>15</v>
      </c>
      <c r="B22" s="8">
        <v>60000</v>
      </c>
      <c r="C22" s="9"/>
      <c r="D22" s="9"/>
      <c r="E22" s="9"/>
      <c r="F22" s="9"/>
      <c r="G22" s="9"/>
      <c r="H22" s="9"/>
      <c r="I22" s="9"/>
      <c r="J22" s="9"/>
      <c r="K22" s="9">
        <f>B22</f>
        <v>60000</v>
      </c>
      <c r="L22" s="9"/>
      <c r="M22" s="9"/>
    </row>
    <row r="23" spans="1:13" s="2" customFormat="1">
      <c r="A23" s="5" t="s">
        <v>16</v>
      </c>
      <c r="B23" s="8">
        <v>92000</v>
      </c>
      <c r="C23" s="9"/>
      <c r="D23" s="9">
        <f>B23</f>
        <v>92000</v>
      </c>
      <c r="E23" s="9"/>
      <c r="F23" s="9"/>
      <c r="G23" s="9"/>
      <c r="H23" s="9"/>
      <c r="I23" s="9"/>
      <c r="J23" s="9"/>
      <c r="K23" s="9"/>
      <c r="L23" s="9"/>
      <c r="M23" s="9"/>
    </row>
    <row r="24" spans="1:13" s="2" customFormat="1">
      <c r="A24" s="5" t="s">
        <v>17</v>
      </c>
      <c r="B24" s="8">
        <v>880000</v>
      </c>
      <c r="C24" s="9"/>
      <c r="D24" s="9"/>
      <c r="E24" s="9"/>
      <c r="F24" s="9"/>
      <c r="G24" s="9"/>
      <c r="H24" s="9">
        <f>B24</f>
        <v>880000</v>
      </c>
      <c r="I24" s="9"/>
      <c r="J24" s="9"/>
      <c r="K24" s="9"/>
      <c r="L24" s="9"/>
      <c r="M24" s="9"/>
    </row>
    <row r="25" spans="1:13" s="2" customFormat="1">
      <c r="A25" s="5" t="s">
        <v>18</v>
      </c>
      <c r="B25" s="8">
        <v>30000</v>
      </c>
      <c r="C25" s="9"/>
      <c r="D25" s="9">
        <f>B25</f>
        <v>30000</v>
      </c>
      <c r="E25" s="9"/>
      <c r="F25" s="9"/>
      <c r="G25" s="9"/>
      <c r="H25" s="9"/>
      <c r="I25" s="9"/>
      <c r="J25" s="9"/>
      <c r="K25" s="9"/>
      <c r="L25" s="9"/>
      <c r="M25" s="9"/>
    </row>
    <row r="26" spans="1:13" s="2" customFormat="1">
      <c r="A26" s="5" t="s">
        <v>19</v>
      </c>
      <c r="B26" s="8">
        <v>32000</v>
      </c>
      <c r="C26" s="9"/>
      <c r="D26" s="9"/>
      <c r="E26" s="9"/>
      <c r="F26" s="9"/>
      <c r="G26" s="9"/>
      <c r="H26" s="9"/>
      <c r="I26" s="9"/>
      <c r="J26" s="9"/>
      <c r="K26" s="9">
        <f>B26</f>
        <v>32000</v>
      </c>
      <c r="L26" s="9"/>
      <c r="M26" s="9"/>
    </row>
    <row r="27" spans="1:13" s="2" customFormat="1">
      <c r="A27" s="5" t="s">
        <v>20</v>
      </c>
      <c r="B27" s="8"/>
      <c r="C27" s="9"/>
      <c r="D27" s="9"/>
      <c r="E27" s="9"/>
      <c r="F27" s="9"/>
      <c r="G27" s="9">
        <v>568000</v>
      </c>
      <c r="H27" s="9"/>
      <c r="I27" s="9"/>
      <c r="J27" s="9"/>
      <c r="K27" s="9"/>
      <c r="L27" s="9"/>
      <c r="M27" s="9"/>
    </row>
    <row r="28" spans="1:13" s="2" customFormat="1">
      <c r="A28" s="5" t="s">
        <v>21</v>
      </c>
      <c r="B28" s="8">
        <v>100000</v>
      </c>
      <c r="C28" s="9"/>
      <c r="D28" s="9">
        <f>B28</f>
        <v>100000</v>
      </c>
      <c r="E28" s="9"/>
      <c r="F28" s="9"/>
      <c r="G28" s="9"/>
      <c r="H28" s="9"/>
      <c r="I28" s="9"/>
      <c r="J28" s="9"/>
      <c r="K28" s="9"/>
      <c r="L28" s="9"/>
      <c r="M28" s="9"/>
    </row>
    <row r="29" spans="1:13" s="2" customFormat="1">
      <c r="A29" s="5" t="s">
        <v>22</v>
      </c>
      <c r="B29" s="8">
        <v>90000</v>
      </c>
      <c r="C29" s="9"/>
      <c r="D29" s="9"/>
      <c r="E29" s="9"/>
      <c r="F29" s="9"/>
      <c r="G29" s="9"/>
      <c r="H29" s="9"/>
      <c r="I29" s="9">
        <f>B29</f>
        <v>90000</v>
      </c>
      <c r="J29" s="9"/>
      <c r="K29" s="9"/>
      <c r="L29" s="9"/>
      <c r="M29" s="9"/>
    </row>
    <row r="30" spans="1:13" s="2" customFormat="1">
      <c r="A30" s="5" t="s">
        <v>23</v>
      </c>
      <c r="B30" s="8">
        <v>30000</v>
      </c>
      <c r="C30" s="9"/>
      <c r="D30" s="9"/>
      <c r="E30" s="9"/>
      <c r="F30" s="9"/>
      <c r="G30" s="9"/>
      <c r="H30" s="9">
        <f>-B30</f>
        <v>-30000</v>
      </c>
      <c r="I30" s="9"/>
      <c r="J30" s="9"/>
      <c r="K30" s="9"/>
      <c r="L30" s="9"/>
      <c r="M30" s="9"/>
    </row>
    <row r="31" spans="1:13" s="2" customFormat="1">
      <c r="A31" s="5" t="s">
        <v>24</v>
      </c>
      <c r="B31" s="8">
        <v>25000</v>
      </c>
      <c r="C31" s="9"/>
      <c r="D31" s="9"/>
      <c r="E31" s="9"/>
      <c r="F31" s="9">
        <f>B31</f>
        <v>25000</v>
      </c>
      <c r="G31" s="9"/>
      <c r="H31" s="9"/>
      <c r="I31" s="9"/>
      <c r="J31" s="9"/>
      <c r="K31" s="9"/>
      <c r="L31" s="9"/>
      <c r="M31" s="9"/>
    </row>
    <row r="32" spans="1:13" s="2" customFormat="1">
      <c r="A32" s="5" t="s">
        <v>25</v>
      </c>
      <c r="B32" s="8">
        <v>10000</v>
      </c>
      <c r="C32" s="9"/>
      <c r="D32" s="9"/>
      <c r="E32" s="9"/>
      <c r="F32" s="9"/>
      <c r="G32" s="9"/>
      <c r="H32" s="9"/>
      <c r="I32" s="9"/>
      <c r="J32" s="9"/>
      <c r="K32" s="9"/>
      <c r="L32" s="9">
        <f>B32</f>
        <v>10000</v>
      </c>
      <c r="M32" s="9"/>
    </row>
    <row r="33" spans="1:1024">
      <c r="A33" s="5" t="s">
        <v>26</v>
      </c>
      <c r="B33" s="8">
        <v>50000</v>
      </c>
      <c r="C33" s="9"/>
      <c r="D33" s="9"/>
      <c r="E33" s="9">
        <f>B33</f>
        <v>50000</v>
      </c>
      <c r="F33" s="9"/>
      <c r="G33" s="9"/>
      <c r="H33" s="9"/>
      <c r="I33" s="9"/>
      <c r="J33" s="9"/>
      <c r="K33" s="9"/>
      <c r="L33" s="9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</row>
    <row r="34" spans="1:1024">
      <c r="A34" s="5" t="s">
        <v>27</v>
      </c>
      <c r="B34" s="8">
        <v>200000</v>
      </c>
      <c r="C34" s="9">
        <f>B34</f>
        <v>200000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</row>
    <row r="35" spans="1:1024">
      <c r="A35" s="5" t="s">
        <v>28</v>
      </c>
      <c r="B35" s="8">
        <v>17000</v>
      </c>
      <c r="C35" s="9"/>
      <c r="D35" s="9"/>
      <c r="E35" s="9"/>
      <c r="F35" s="9"/>
      <c r="G35" s="9"/>
      <c r="H35" s="9"/>
      <c r="I35" s="9"/>
      <c r="J35" s="9"/>
      <c r="K35" s="9">
        <f>B35</f>
        <v>17000</v>
      </c>
      <c r="L35" s="9"/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</row>
    <row r="36" spans="1:1024">
      <c r="A36" s="5" t="s">
        <v>29</v>
      </c>
      <c r="B36" s="8">
        <v>140000</v>
      </c>
      <c r="C36" s="9"/>
      <c r="D36" s="9">
        <f>B36</f>
        <v>140000</v>
      </c>
      <c r="E36" s="9"/>
      <c r="F36" s="9"/>
      <c r="G36" s="9"/>
      <c r="H36" s="9"/>
      <c r="I36" s="9"/>
      <c r="J36" s="9"/>
      <c r="K36" s="9"/>
      <c r="L36" s="9"/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</row>
    <row r="37" spans="1:1024">
      <c r="B37" s="8"/>
      <c r="C37" s="10">
        <f>SUM(C4:C36)</f>
        <v>535000</v>
      </c>
      <c r="D37" s="10">
        <f t="shared" ref="D37:M37" si="0">SUM(D4:D36)</f>
        <v>312000</v>
      </c>
      <c r="E37" s="10">
        <f t="shared" si="0"/>
        <v>64000</v>
      </c>
      <c r="F37" s="10">
        <f t="shared" si="0"/>
        <v>25000</v>
      </c>
      <c r="G37" s="10">
        <f t="shared" si="0"/>
        <v>628000</v>
      </c>
      <c r="H37" s="10">
        <f t="shared" si="0"/>
        <v>820000</v>
      </c>
      <c r="I37" s="10">
        <f t="shared" si="0"/>
        <v>355000</v>
      </c>
      <c r="J37" s="10">
        <f t="shared" si="0"/>
        <v>32000</v>
      </c>
      <c r="K37" s="10">
        <f t="shared" si="0"/>
        <v>310000</v>
      </c>
      <c r="L37" s="10">
        <f t="shared" si="0"/>
        <v>10000</v>
      </c>
      <c r="M37" s="10">
        <f t="shared" si="0"/>
        <v>17000</v>
      </c>
    </row>
    <row r="39" spans="1:1024">
      <c r="A39" s="5" t="s">
        <v>45</v>
      </c>
      <c r="C39" s="5">
        <f>C37+D37+I37+J37+K37+L37-E37-F37-G37-H37-M37</f>
        <v>0</v>
      </c>
    </row>
    <row r="41" spans="1:1024">
      <c r="A41" s="6" t="s">
        <v>46</v>
      </c>
      <c r="B41" s="6" t="s">
        <v>47</v>
      </c>
      <c r="C41" s="6"/>
      <c r="D41" s="6" t="s">
        <v>41</v>
      </c>
    </row>
    <row r="42" spans="1:1024">
      <c r="A42" s="5">
        <v>1</v>
      </c>
      <c r="B42" s="5" t="s">
        <v>48</v>
      </c>
      <c r="D42" s="9">
        <v>9000</v>
      </c>
    </row>
    <row r="43" spans="1:1024">
      <c r="B43" s="5" t="s">
        <v>49</v>
      </c>
      <c r="D43" s="9">
        <f>D42</f>
        <v>9000</v>
      </c>
    </row>
    <row r="44" spans="1:1024">
      <c r="D44" s="9"/>
    </row>
    <row r="45" spans="1:1024">
      <c r="A45" s="5">
        <v>2</v>
      </c>
      <c r="B45" s="5" t="s">
        <v>50</v>
      </c>
      <c r="D45" s="9">
        <v>10000</v>
      </c>
    </row>
    <row r="46" spans="1:1024">
      <c r="B46" s="5" t="s">
        <v>51</v>
      </c>
      <c r="D46" s="9">
        <v>10000</v>
      </c>
    </row>
    <row r="47" spans="1:1024">
      <c r="D47" s="9"/>
    </row>
    <row r="48" spans="1:1024">
      <c r="A48" s="5">
        <v>3</v>
      </c>
      <c r="B48" s="5" t="s">
        <v>52</v>
      </c>
      <c r="D48" s="9">
        <f>50000*0.1</f>
        <v>5000</v>
      </c>
    </row>
    <row r="49" spans="1:1024">
      <c r="B49" s="5" t="s">
        <v>53</v>
      </c>
      <c r="D49" s="9">
        <f>D48</f>
        <v>5000</v>
      </c>
    </row>
    <row r="50" spans="1:1024">
      <c r="D50" s="9"/>
    </row>
    <row r="51" spans="1:1024">
      <c r="A51" s="5">
        <v>4</v>
      </c>
      <c r="B51" s="5" t="s">
        <v>54</v>
      </c>
      <c r="D51" s="9">
        <f>1700*2</f>
        <v>3400</v>
      </c>
    </row>
    <row r="52" spans="1:1024">
      <c r="B52" s="5" t="s">
        <v>55</v>
      </c>
      <c r="D52" s="9">
        <f>D51</f>
        <v>3400</v>
      </c>
    </row>
    <row r="54" spans="1:1024" ht="31">
      <c r="A54" s="6"/>
      <c r="B54" s="6" t="s">
        <v>41</v>
      </c>
      <c r="C54" s="7" t="s">
        <v>31</v>
      </c>
      <c r="D54" s="7" t="s">
        <v>32</v>
      </c>
      <c r="E54" s="7" t="s">
        <v>33</v>
      </c>
      <c r="F54" s="7" t="s">
        <v>34</v>
      </c>
      <c r="G54" s="6" t="s">
        <v>35</v>
      </c>
      <c r="H54" s="6" t="s">
        <v>17</v>
      </c>
      <c r="I54" s="6" t="s">
        <v>36</v>
      </c>
      <c r="J54" s="7" t="s">
        <v>37</v>
      </c>
      <c r="K54" s="7" t="s">
        <v>38</v>
      </c>
      <c r="L54" s="7" t="s">
        <v>39</v>
      </c>
      <c r="M54" s="7" t="s">
        <v>40</v>
      </c>
    </row>
    <row r="55" spans="1:1024">
      <c r="A55" s="4" t="s">
        <v>0</v>
      </c>
      <c r="B55" s="8">
        <v>50000</v>
      </c>
      <c r="C55" s="9"/>
      <c r="D55" s="9"/>
      <c r="E55" s="9"/>
      <c r="F55" s="9"/>
      <c r="G55" s="9"/>
      <c r="H55" s="9"/>
      <c r="I55" s="9">
        <f>B55</f>
        <v>50000</v>
      </c>
      <c r="J55" s="9"/>
      <c r="K55" s="9"/>
      <c r="L55" s="9"/>
      <c r="M55" s="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</row>
    <row r="56" spans="1:1024">
      <c r="A56" s="4" t="s">
        <v>1</v>
      </c>
      <c r="B56" s="8">
        <v>180000</v>
      </c>
      <c r="C56" s="9"/>
      <c r="D56" s="9"/>
      <c r="E56" s="9"/>
      <c r="F56" s="9"/>
      <c r="G56" s="9"/>
      <c r="H56" s="9"/>
      <c r="I56" s="9"/>
      <c r="J56" s="9"/>
      <c r="K56" s="9">
        <f>B56</f>
        <v>180000</v>
      </c>
      <c r="L56" s="9"/>
      <c r="M56" s="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>
      <c r="A57" s="4" t="s">
        <v>42</v>
      </c>
      <c r="B57" s="8">
        <v>340000</v>
      </c>
      <c r="C57" s="9">
        <f>B57</f>
        <v>340000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>
      <c r="A58" s="4" t="s">
        <v>2</v>
      </c>
      <c r="B58" s="8">
        <v>60000</v>
      </c>
      <c r="C58" s="9"/>
      <c r="D58" s="9"/>
      <c r="E58" s="9"/>
      <c r="F58" s="9"/>
      <c r="G58" s="9">
        <f>B58</f>
        <v>60000</v>
      </c>
      <c r="H58" s="9"/>
      <c r="I58" s="9"/>
      <c r="J58" s="9"/>
      <c r="K58" s="9"/>
      <c r="L58" s="9"/>
      <c r="M58" s="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</row>
    <row r="59" spans="1:1024" s="14" customFormat="1">
      <c r="A59" s="12" t="s">
        <v>3</v>
      </c>
      <c r="B59" s="13">
        <v>18000</v>
      </c>
      <c r="C59" s="11"/>
      <c r="D59" s="11"/>
      <c r="E59" s="11"/>
      <c r="F59" s="11"/>
      <c r="G59" s="11"/>
      <c r="H59" s="11"/>
      <c r="I59" s="11"/>
      <c r="J59" s="15">
        <f>18000-D43</f>
        <v>9000</v>
      </c>
      <c r="K59" s="11"/>
      <c r="L59" s="11"/>
      <c r="M59" s="11"/>
    </row>
    <row r="60" spans="1:1024">
      <c r="A60" s="5" t="s">
        <v>43</v>
      </c>
      <c r="B60" s="8">
        <v>10000</v>
      </c>
      <c r="C60" s="9"/>
      <c r="D60" s="9"/>
      <c r="E60" s="9"/>
      <c r="F60" s="9"/>
      <c r="G60" s="9"/>
      <c r="H60" s="9"/>
      <c r="I60" s="9"/>
      <c r="J60" s="9"/>
      <c r="K60" s="9">
        <f>B60</f>
        <v>10000</v>
      </c>
      <c r="L60" s="9"/>
      <c r="M60" s="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</row>
    <row r="61" spans="1:1024" s="14" customFormat="1">
      <c r="A61" s="16" t="s">
        <v>4</v>
      </c>
      <c r="B61" s="13">
        <v>15000</v>
      </c>
      <c r="C61" s="15">
        <f>B61-D46</f>
        <v>5000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024">
      <c r="A62" s="5" t="s">
        <v>5</v>
      </c>
      <c r="B62" s="8">
        <v>14000</v>
      </c>
      <c r="C62" s="9"/>
      <c r="D62" s="9"/>
      <c r="E62" s="9"/>
      <c r="F62" s="9"/>
      <c r="G62" s="9"/>
      <c r="H62" s="9"/>
      <c r="I62" s="9"/>
      <c r="J62" s="9">
        <f>B62</f>
        <v>14000</v>
      </c>
      <c r="K62" s="9"/>
      <c r="L62" s="9"/>
      <c r="M62" s="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>
      <c r="A63" s="5" t="s">
        <v>6</v>
      </c>
      <c r="B63" s="8">
        <v>6000</v>
      </c>
      <c r="C63" s="9"/>
      <c r="D63" s="9"/>
      <c r="E63" s="9"/>
      <c r="F63" s="9"/>
      <c r="G63" s="9"/>
      <c r="H63" s="9"/>
      <c r="I63" s="9">
        <f>-B63</f>
        <v>-6000</v>
      </c>
      <c r="J63" s="9"/>
      <c r="K63" s="9"/>
      <c r="L63" s="9"/>
      <c r="M63" s="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>
      <c r="A64" s="5" t="s">
        <v>7</v>
      </c>
      <c r="B64" s="8">
        <v>19000</v>
      </c>
      <c r="C64" s="9"/>
      <c r="D64" s="9"/>
      <c r="E64" s="9"/>
      <c r="F64" s="9"/>
      <c r="G64" s="9"/>
      <c r="H64" s="9"/>
      <c r="I64" s="9">
        <f>-B64</f>
        <v>-19000</v>
      </c>
      <c r="J64" s="9"/>
      <c r="K64" s="9"/>
      <c r="L64" s="9"/>
      <c r="M64" s="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>
      <c r="A65" s="5" t="s">
        <v>8</v>
      </c>
      <c r="B65" s="8">
        <v>11000</v>
      </c>
      <c r="C65" s="9"/>
      <c r="D65" s="9"/>
      <c r="E65" s="9"/>
      <c r="F65" s="9"/>
      <c r="G65" s="9"/>
      <c r="H65" s="9"/>
      <c r="I65" s="9"/>
      <c r="J65" s="9"/>
      <c r="K65" s="9">
        <f>B65</f>
        <v>11000</v>
      </c>
      <c r="L65" s="9"/>
      <c r="M65" s="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>
      <c r="A66" s="5" t="s">
        <v>9</v>
      </c>
      <c r="B66" s="8">
        <v>30000</v>
      </c>
      <c r="C66" s="9"/>
      <c r="D66" s="9">
        <f>-B66</f>
        <v>-30000</v>
      </c>
      <c r="E66" s="9"/>
      <c r="F66" s="9"/>
      <c r="G66" s="9"/>
      <c r="H66" s="9"/>
      <c r="I66" s="9"/>
      <c r="J66" s="9"/>
      <c r="K66" s="9"/>
      <c r="L66" s="9"/>
      <c r="M66" s="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  <c r="WW66" s="2"/>
      <c r="WX66" s="2"/>
      <c r="WY66" s="2"/>
      <c r="WZ66" s="2"/>
      <c r="XA66" s="2"/>
      <c r="XB66" s="2"/>
      <c r="XC66" s="2"/>
      <c r="XD66" s="2"/>
      <c r="XE66" s="2"/>
      <c r="XF66" s="2"/>
      <c r="XG66" s="2"/>
      <c r="XH66" s="2"/>
      <c r="XI66" s="2"/>
      <c r="XJ66" s="2"/>
      <c r="XK66" s="2"/>
      <c r="XL66" s="2"/>
      <c r="XM66" s="2"/>
      <c r="XN66" s="2"/>
      <c r="XO66" s="2"/>
      <c r="XP66" s="2"/>
      <c r="XQ66" s="2"/>
      <c r="XR66" s="2"/>
      <c r="XS66" s="2"/>
      <c r="XT66" s="2"/>
      <c r="XU66" s="2"/>
      <c r="XV66" s="2"/>
      <c r="XW66" s="2"/>
      <c r="XX66" s="2"/>
      <c r="XY66" s="2"/>
      <c r="XZ66" s="2"/>
      <c r="YA66" s="2"/>
      <c r="YB66" s="2"/>
      <c r="YC66" s="2"/>
      <c r="YD66" s="2"/>
      <c r="YE66" s="2"/>
      <c r="YF66" s="2"/>
      <c r="YG66" s="2"/>
      <c r="YH66" s="2"/>
      <c r="YI66" s="2"/>
      <c r="YJ66" s="2"/>
      <c r="YK66" s="2"/>
      <c r="YL66" s="2"/>
      <c r="YM66" s="2"/>
      <c r="YN66" s="2"/>
      <c r="YO66" s="2"/>
      <c r="YP66" s="2"/>
      <c r="YQ66" s="2"/>
      <c r="YR66" s="2"/>
      <c r="YS66" s="2"/>
      <c r="YT66" s="2"/>
      <c r="YU66" s="2"/>
      <c r="YV66" s="2"/>
      <c r="YW66" s="2"/>
      <c r="YX66" s="2"/>
      <c r="YY66" s="2"/>
      <c r="YZ66" s="2"/>
      <c r="ZA66" s="2"/>
      <c r="ZB66" s="2"/>
      <c r="ZC66" s="2"/>
      <c r="ZD66" s="2"/>
      <c r="ZE66" s="2"/>
      <c r="ZF66" s="2"/>
      <c r="ZG66" s="2"/>
      <c r="ZH66" s="2"/>
      <c r="ZI66" s="2"/>
      <c r="ZJ66" s="2"/>
      <c r="ZK66" s="2"/>
      <c r="ZL66" s="2"/>
      <c r="ZM66" s="2"/>
      <c r="ZN66" s="2"/>
      <c r="ZO66" s="2"/>
      <c r="ZP66" s="2"/>
      <c r="ZQ66" s="2"/>
      <c r="ZR66" s="2"/>
      <c r="ZS66" s="2"/>
      <c r="ZT66" s="2"/>
      <c r="ZU66" s="2"/>
      <c r="ZV66" s="2"/>
      <c r="ZW66" s="2"/>
      <c r="ZX66" s="2"/>
      <c r="ZY66" s="2"/>
      <c r="ZZ66" s="2"/>
      <c r="AAA66" s="2"/>
      <c r="AAB66" s="2"/>
      <c r="AAC66" s="2"/>
      <c r="AAD66" s="2"/>
      <c r="AAE66" s="2"/>
      <c r="AAF66" s="2"/>
      <c r="AAG66" s="2"/>
      <c r="AAH66" s="2"/>
      <c r="AAI66" s="2"/>
      <c r="AAJ66" s="2"/>
      <c r="AAK66" s="2"/>
      <c r="AAL66" s="2"/>
      <c r="AAM66" s="2"/>
      <c r="AAN66" s="2"/>
      <c r="AAO66" s="2"/>
      <c r="AAP66" s="2"/>
      <c r="AAQ66" s="2"/>
      <c r="AAR66" s="2"/>
      <c r="AAS66" s="2"/>
      <c r="AAT66" s="2"/>
      <c r="AAU66" s="2"/>
      <c r="AAV66" s="2"/>
      <c r="AAW66" s="2"/>
      <c r="AAX66" s="2"/>
      <c r="AAY66" s="2"/>
      <c r="AAZ66" s="2"/>
      <c r="ABA66" s="2"/>
      <c r="ABB66" s="2"/>
      <c r="ABC66" s="2"/>
      <c r="ABD66" s="2"/>
      <c r="ABE66" s="2"/>
      <c r="ABF66" s="2"/>
      <c r="ABG66" s="2"/>
      <c r="ABH66" s="2"/>
      <c r="ABI66" s="2"/>
      <c r="ABJ66" s="2"/>
      <c r="ABK66" s="2"/>
      <c r="ABL66" s="2"/>
      <c r="ABM66" s="2"/>
      <c r="ABN66" s="2"/>
      <c r="ABO66" s="2"/>
      <c r="ABP66" s="2"/>
      <c r="ABQ66" s="2"/>
      <c r="ABR66" s="2"/>
      <c r="ABS66" s="2"/>
      <c r="ABT66" s="2"/>
      <c r="ABU66" s="2"/>
      <c r="ABV66" s="2"/>
      <c r="ABW66" s="2"/>
      <c r="ABX66" s="2"/>
      <c r="ABY66" s="2"/>
      <c r="ABZ66" s="2"/>
      <c r="ACA66" s="2"/>
      <c r="ACB66" s="2"/>
      <c r="ACC66" s="2"/>
      <c r="ACD66" s="2"/>
      <c r="ACE66" s="2"/>
      <c r="ACF66" s="2"/>
      <c r="ACG66" s="2"/>
      <c r="ACH66" s="2"/>
      <c r="ACI66" s="2"/>
      <c r="ACJ66" s="2"/>
      <c r="ACK66" s="2"/>
      <c r="ACL66" s="2"/>
      <c r="ACM66" s="2"/>
      <c r="ACN66" s="2"/>
      <c r="ACO66" s="2"/>
      <c r="ACP66" s="2"/>
      <c r="ACQ66" s="2"/>
      <c r="ACR66" s="2"/>
      <c r="ACS66" s="2"/>
      <c r="ACT66" s="2"/>
      <c r="ACU66" s="2"/>
      <c r="ACV66" s="2"/>
      <c r="ACW66" s="2"/>
      <c r="ACX66" s="2"/>
      <c r="ACY66" s="2"/>
      <c r="ACZ66" s="2"/>
      <c r="ADA66" s="2"/>
      <c r="ADB66" s="2"/>
      <c r="ADC66" s="2"/>
      <c r="ADD66" s="2"/>
      <c r="ADE66" s="2"/>
      <c r="ADF66" s="2"/>
      <c r="ADG66" s="2"/>
      <c r="ADH66" s="2"/>
      <c r="ADI66" s="2"/>
      <c r="ADJ66" s="2"/>
      <c r="ADK66" s="2"/>
      <c r="ADL66" s="2"/>
      <c r="ADM66" s="2"/>
      <c r="ADN66" s="2"/>
      <c r="ADO66" s="2"/>
      <c r="ADP66" s="2"/>
      <c r="ADQ66" s="2"/>
      <c r="ADR66" s="2"/>
      <c r="ADS66" s="2"/>
      <c r="ADT66" s="2"/>
      <c r="ADU66" s="2"/>
      <c r="ADV66" s="2"/>
      <c r="ADW66" s="2"/>
      <c r="ADX66" s="2"/>
      <c r="ADY66" s="2"/>
      <c r="ADZ66" s="2"/>
      <c r="AEA66" s="2"/>
      <c r="AEB66" s="2"/>
      <c r="AEC66" s="2"/>
      <c r="AED66" s="2"/>
      <c r="AEE66" s="2"/>
      <c r="AEF66" s="2"/>
      <c r="AEG66" s="2"/>
      <c r="AEH66" s="2"/>
      <c r="AEI66" s="2"/>
      <c r="AEJ66" s="2"/>
      <c r="AEK66" s="2"/>
      <c r="AEL66" s="2"/>
      <c r="AEM66" s="2"/>
      <c r="AEN66" s="2"/>
      <c r="AEO66" s="2"/>
      <c r="AEP66" s="2"/>
      <c r="AEQ66" s="2"/>
      <c r="AER66" s="2"/>
      <c r="AES66" s="2"/>
      <c r="AET66" s="2"/>
      <c r="AEU66" s="2"/>
      <c r="AEV66" s="2"/>
      <c r="AEW66" s="2"/>
      <c r="AEX66" s="2"/>
      <c r="AEY66" s="2"/>
      <c r="AEZ66" s="2"/>
      <c r="AFA66" s="2"/>
      <c r="AFB66" s="2"/>
      <c r="AFC66" s="2"/>
      <c r="AFD66" s="2"/>
      <c r="AFE66" s="2"/>
      <c r="AFF66" s="2"/>
      <c r="AFG66" s="2"/>
      <c r="AFH66" s="2"/>
      <c r="AFI66" s="2"/>
      <c r="AFJ66" s="2"/>
      <c r="AFK66" s="2"/>
      <c r="AFL66" s="2"/>
      <c r="AFM66" s="2"/>
      <c r="AFN66" s="2"/>
      <c r="AFO66" s="2"/>
      <c r="AFP66" s="2"/>
      <c r="AFQ66" s="2"/>
      <c r="AFR66" s="2"/>
      <c r="AFS66" s="2"/>
      <c r="AFT66" s="2"/>
      <c r="AFU66" s="2"/>
      <c r="AFV66" s="2"/>
      <c r="AFW66" s="2"/>
      <c r="AFX66" s="2"/>
      <c r="AFY66" s="2"/>
      <c r="AFZ66" s="2"/>
      <c r="AGA66" s="2"/>
      <c r="AGB66" s="2"/>
      <c r="AGC66" s="2"/>
      <c r="AGD66" s="2"/>
      <c r="AGE66" s="2"/>
      <c r="AGF66" s="2"/>
      <c r="AGG66" s="2"/>
      <c r="AGH66" s="2"/>
      <c r="AGI66" s="2"/>
      <c r="AGJ66" s="2"/>
      <c r="AGK66" s="2"/>
      <c r="AGL66" s="2"/>
      <c r="AGM66" s="2"/>
      <c r="AGN66" s="2"/>
      <c r="AGO66" s="2"/>
      <c r="AGP66" s="2"/>
      <c r="AGQ66" s="2"/>
      <c r="AGR66" s="2"/>
      <c r="AGS66" s="2"/>
      <c r="AGT66" s="2"/>
      <c r="AGU66" s="2"/>
      <c r="AGV66" s="2"/>
      <c r="AGW66" s="2"/>
      <c r="AGX66" s="2"/>
      <c r="AGY66" s="2"/>
      <c r="AGZ66" s="2"/>
      <c r="AHA66" s="2"/>
      <c r="AHB66" s="2"/>
      <c r="AHC66" s="2"/>
      <c r="AHD66" s="2"/>
      <c r="AHE66" s="2"/>
      <c r="AHF66" s="2"/>
      <c r="AHG66" s="2"/>
      <c r="AHH66" s="2"/>
      <c r="AHI66" s="2"/>
      <c r="AHJ66" s="2"/>
      <c r="AHK66" s="2"/>
      <c r="AHL66" s="2"/>
      <c r="AHM66" s="2"/>
      <c r="AHN66" s="2"/>
      <c r="AHO66" s="2"/>
      <c r="AHP66" s="2"/>
      <c r="AHQ66" s="2"/>
      <c r="AHR66" s="2"/>
      <c r="AHS66" s="2"/>
      <c r="AHT66" s="2"/>
      <c r="AHU66" s="2"/>
      <c r="AHV66" s="2"/>
      <c r="AHW66" s="2"/>
      <c r="AHX66" s="2"/>
      <c r="AHY66" s="2"/>
      <c r="AHZ66" s="2"/>
      <c r="AIA66" s="2"/>
      <c r="AIB66" s="2"/>
      <c r="AIC66" s="2"/>
      <c r="AID66" s="2"/>
      <c r="AIE66" s="2"/>
      <c r="AIF66" s="2"/>
      <c r="AIG66" s="2"/>
      <c r="AIH66" s="2"/>
      <c r="AII66" s="2"/>
      <c r="AIJ66" s="2"/>
      <c r="AIK66" s="2"/>
      <c r="AIL66" s="2"/>
      <c r="AIM66" s="2"/>
      <c r="AIN66" s="2"/>
      <c r="AIO66" s="2"/>
      <c r="AIP66" s="2"/>
      <c r="AIQ66" s="2"/>
      <c r="AIR66" s="2"/>
      <c r="AIS66" s="2"/>
      <c r="AIT66" s="2"/>
      <c r="AIU66" s="2"/>
      <c r="AIV66" s="2"/>
      <c r="AIW66" s="2"/>
      <c r="AIX66" s="2"/>
      <c r="AIY66" s="2"/>
      <c r="AIZ66" s="2"/>
      <c r="AJA66" s="2"/>
      <c r="AJB66" s="2"/>
      <c r="AJC66" s="2"/>
      <c r="AJD66" s="2"/>
      <c r="AJE66" s="2"/>
      <c r="AJF66" s="2"/>
      <c r="AJG66" s="2"/>
      <c r="AJH66" s="2"/>
      <c r="AJI66" s="2"/>
      <c r="AJJ66" s="2"/>
      <c r="AJK66" s="2"/>
      <c r="AJL66" s="2"/>
      <c r="AJM66" s="2"/>
      <c r="AJN66" s="2"/>
      <c r="AJO66" s="2"/>
      <c r="AJP66" s="2"/>
      <c r="AJQ66" s="2"/>
      <c r="AJR66" s="2"/>
      <c r="AJS66" s="2"/>
      <c r="AJT66" s="2"/>
      <c r="AJU66" s="2"/>
      <c r="AJV66" s="2"/>
      <c r="AJW66" s="2"/>
      <c r="AJX66" s="2"/>
      <c r="AJY66" s="2"/>
      <c r="AJZ66" s="2"/>
      <c r="AKA66" s="2"/>
      <c r="AKB66" s="2"/>
      <c r="AKC66" s="2"/>
      <c r="AKD66" s="2"/>
      <c r="AKE66" s="2"/>
      <c r="AKF66" s="2"/>
      <c r="AKG66" s="2"/>
      <c r="AKH66" s="2"/>
      <c r="AKI66" s="2"/>
      <c r="AKJ66" s="2"/>
      <c r="AKK66" s="2"/>
      <c r="AKL66" s="2"/>
      <c r="AKM66" s="2"/>
      <c r="AKN66" s="2"/>
      <c r="AKO66" s="2"/>
      <c r="AKP66" s="2"/>
      <c r="AKQ66" s="2"/>
      <c r="AKR66" s="2"/>
      <c r="AKS66" s="2"/>
      <c r="AKT66" s="2"/>
      <c r="AKU66" s="2"/>
      <c r="AKV66" s="2"/>
      <c r="AKW66" s="2"/>
      <c r="AKX66" s="2"/>
      <c r="AKY66" s="2"/>
      <c r="AKZ66" s="2"/>
      <c r="ALA66" s="2"/>
      <c r="ALB66" s="2"/>
      <c r="ALC66" s="2"/>
      <c r="ALD66" s="2"/>
      <c r="ALE66" s="2"/>
      <c r="ALF66" s="2"/>
      <c r="ALG66" s="2"/>
      <c r="ALH66" s="2"/>
      <c r="ALI66" s="2"/>
      <c r="ALJ66" s="2"/>
      <c r="ALK66" s="2"/>
      <c r="ALL66" s="2"/>
      <c r="ALM66" s="2"/>
      <c r="ALN66" s="2"/>
      <c r="ALO66" s="2"/>
      <c r="ALP66" s="2"/>
      <c r="ALQ66" s="2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>
      <c r="A67" s="5" t="s">
        <v>10</v>
      </c>
      <c r="B67" s="8">
        <v>14000</v>
      </c>
      <c r="C67" s="9"/>
      <c r="D67" s="9"/>
      <c r="E67" s="9">
        <f>B67</f>
        <v>14000</v>
      </c>
      <c r="F67" s="9"/>
      <c r="G67" s="9"/>
      <c r="H67" s="9"/>
      <c r="I67" s="9"/>
      <c r="J67" s="9"/>
      <c r="K67" s="9"/>
      <c r="L67" s="9"/>
      <c r="M67" s="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  <c r="SG67" s="2"/>
      <c r="SH67" s="2"/>
      <c r="SI67" s="2"/>
      <c r="SJ67" s="2"/>
      <c r="SK67" s="2"/>
      <c r="SL67" s="2"/>
      <c r="SM67" s="2"/>
      <c r="SN67" s="2"/>
      <c r="SO67" s="2"/>
      <c r="SP67" s="2"/>
      <c r="SQ67" s="2"/>
      <c r="SR67" s="2"/>
      <c r="SS67" s="2"/>
      <c r="ST67" s="2"/>
      <c r="SU67" s="2"/>
      <c r="SV67" s="2"/>
      <c r="SW67" s="2"/>
      <c r="SX67" s="2"/>
      <c r="SY67" s="2"/>
      <c r="SZ67" s="2"/>
      <c r="TA67" s="2"/>
      <c r="TB67" s="2"/>
      <c r="TC67" s="2"/>
      <c r="TD67" s="2"/>
      <c r="TE67" s="2"/>
      <c r="TF67" s="2"/>
      <c r="TG67" s="2"/>
      <c r="TH67" s="2"/>
      <c r="TI67" s="2"/>
      <c r="TJ67" s="2"/>
      <c r="TK67" s="2"/>
      <c r="TL67" s="2"/>
      <c r="TM67" s="2"/>
      <c r="TN67" s="2"/>
      <c r="TO67" s="2"/>
      <c r="TP67" s="2"/>
      <c r="TQ67" s="2"/>
      <c r="TR67" s="2"/>
      <c r="TS67" s="2"/>
      <c r="TT67" s="2"/>
      <c r="TU67" s="2"/>
      <c r="TV67" s="2"/>
      <c r="TW67" s="2"/>
      <c r="TX67" s="2"/>
      <c r="TY67" s="2"/>
      <c r="TZ67" s="2"/>
      <c r="UA67" s="2"/>
      <c r="UB67" s="2"/>
      <c r="UC67" s="2"/>
      <c r="UD67" s="2"/>
      <c r="UE67" s="2"/>
      <c r="UF67" s="2"/>
      <c r="UG67" s="2"/>
      <c r="UH67" s="2"/>
      <c r="UI67" s="2"/>
      <c r="UJ67" s="2"/>
      <c r="UK67" s="2"/>
      <c r="UL67" s="2"/>
      <c r="UM67" s="2"/>
      <c r="UN67" s="2"/>
      <c r="UO67" s="2"/>
      <c r="UP67" s="2"/>
      <c r="UQ67" s="2"/>
      <c r="UR67" s="2"/>
      <c r="US67" s="2"/>
      <c r="UT67" s="2"/>
      <c r="UU67" s="2"/>
      <c r="UV67" s="2"/>
      <c r="UW67" s="2"/>
      <c r="UX67" s="2"/>
      <c r="UY67" s="2"/>
      <c r="UZ67" s="2"/>
      <c r="VA67" s="2"/>
      <c r="VB67" s="2"/>
      <c r="VC67" s="2"/>
      <c r="VD67" s="2"/>
      <c r="VE67" s="2"/>
      <c r="VF67" s="2"/>
      <c r="VG67" s="2"/>
      <c r="VH67" s="2"/>
      <c r="VI67" s="2"/>
      <c r="VJ67" s="2"/>
      <c r="VK67" s="2"/>
      <c r="VL67" s="2"/>
      <c r="VM67" s="2"/>
      <c r="VN67" s="2"/>
      <c r="VO67" s="2"/>
      <c r="VP67" s="2"/>
      <c r="VQ67" s="2"/>
      <c r="VR67" s="2"/>
      <c r="VS67" s="2"/>
      <c r="VT67" s="2"/>
      <c r="VU67" s="2"/>
      <c r="VV67" s="2"/>
      <c r="VW67" s="2"/>
      <c r="VX67" s="2"/>
      <c r="VY67" s="2"/>
      <c r="VZ67" s="2"/>
      <c r="WA67" s="2"/>
      <c r="WB67" s="2"/>
      <c r="WC67" s="2"/>
      <c r="WD67" s="2"/>
      <c r="WE67" s="2"/>
      <c r="WF67" s="2"/>
      <c r="WG67" s="2"/>
      <c r="WH67" s="2"/>
      <c r="WI67" s="2"/>
      <c r="WJ67" s="2"/>
      <c r="WK67" s="2"/>
      <c r="WL67" s="2"/>
      <c r="WM67" s="2"/>
      <c r="WN67" s="2"/>
      <c r="WO67" s="2"/>
      <c r="WP67" s="2"/>
      <c r="WQ67" s="2"/>
      <c r="WR67" s="2"/>
      <c r="WS67" s="2"/>
      <c r="WT67" s="2"/>
      <c r="WU67" s="2"/>
      <c r="WV67" s="2"/>
      <c r="WW67" s="2"/>
      <c r="WX67" s="2"/>
      <c r="WY67" s="2"/>
      <c r="WZ67" s="2"/>
      <c r="XA67" s="2"/>
      <c r="XB67" s="2"/>
      <c r="XC67" s="2"/>
      <c r="XD67" s="2"/>
      <c r="XE67" s="2"/>
      <c r="XF67" s="2"/>
      <c r="XG67" s="2"/>
      <c r="XH67" s="2"/>
      <c r="XI67" s="2"/>
      <c r="XJ67" s="2"/>
      <c r="XK67" s="2"/>
      <c r="XL67" s="2"/>
      <c r="XM67" s="2"/>
      <c r="XN67" s="2"/>
      <c r="XO67" s="2"/>
      <c r="XP67" s="2"/>
      <c r="XQ67" s="2"/>
      <c r="XR67" s="2"/>
      <c r="XS67" s="2"/>
      <c r="XT67" s="2"/>
      <c r="XU67" s="2"/>
      <c r="XV67" s="2"/>
      <c r="XW67" s="2"/>
      <c r="XX67" s="2"/>
      <c r="XY67" s="2"/>
      <c r="XZ67" s="2"/>
      <c r="YA67" s="2"/>
      <c r="YB67" s="2"/>
      <c r="YC67" s="2"/>
      <c r="YD67" s="2"/>
      <c r="YE67" s="2"/>
      <c r="YF67" s="2"/>
      <c r="YG67" s="2"/>
      <c r="YH67" s="2"/>
      <c r="YI67" s="2"/>
      <c r="YJ67" s="2"/>
      <c r="YK67" s="2"/>
      <c r="YL67" s="2"/>
      <c r="YM67" s="2"/>
      <c r="YN67" s="2"/>
      <c r="YO67" s="2"/>
      <c r="YP67" s="2"/>
      <c r="YQ67" s="2"/>
      <c r="YR67" s="2"/>
      <c r="YS67" s="2"/>
      <c r="YT67" s="2"/>
      <c r="YU67" s="2"/>
      <c r="YV67" s="2"/>
      <c r="YW67" s="2"/>
      <c r="YX67" s="2"/>
      <c r="YY67" s="2"/>
      <c r="YZ67" s="2"/>
      <c r="ZA67" s="2"/>
      <c r="ZB67" s="2"/>
      <c r="ZC67" s="2"/>
      <c r="ZD67" s="2"/>
      <c r="ZE67" s="2"/>
      <c r="ZF67" s="2"/>
      <c r="ZG67" s="2"/>
      <c r="ZH67" s="2"/>
      <c r="ZI67" s="2"/>
      <c r="ZJ67" s="2"/>
      <c r="ZK67" s="2"/>
      <c r="ZL67" s="2"/>
      <c r="ZM67" s="2"/>
      <c r="ZN67" s="2"/>
      <c r="ZO67" s="2"/>
      <c r="ZP67" s="2"/>
      <c r="ZQ67" s="2"/>
      <c r="ZR67" s="2"/>
      <c r="ZS67" s="2"/>
      <c r="ZT67" s="2"/>
      <c r="ZU67" s="2"/>
      <c r="ZV67" s="2"/>
      <c r="ZW67" s="2"/>
      <c r="ZX67" s="2"/>
      <c r="ZY67" s="2"/>
      <c r="ZZ67" s="2"/>
      <c r="AAA67" s="2"/>
      <c r="AAB67" s="2"/>
      <c r="AAC67" s="2"/>
      <c r="AAD67" s="2"/>
      <c r="AAE67" s="2"/>
      <c r="AAF67" s="2"/>
      <c r="AAG67" s="2"/>
      <c r="AAH67" s="2"/>
      <c r="AAI67" s="2"/>
      <c r="AAJ67" s="2"/>
      <c r="AAK67" s="2"/>
      <c r="AAL67" s="2"/>
      <c r="AAM67" s="2"/>
      <c r="AAN67" s="2"/>
      <c r="AAO67" s="2"/>
      <c r="AAP67" s="2"/>
      <c r="AAQ67" s="2"/>
      <c r="AAR67" s="2"/>
      <c r="AAS67" s="2"/>
      <c r="AAT67" s="2"/>
      <c r="AAU67" s="2"/>
      <c r="AAV67" s="2"/>
      <c r="AAW67" s="2"/>
      <c r="AAX67" s="2"/>
      <c r="AAY67" s="2"/>
      <c r="AAZ67" s="2"/>
      <c r="ABA67" s="2"/>
      <c r="ABB67" s="2"/>
      <c r="ABC67" s="2"/>
      <c r="ABD67" s="2"/>
      <c r="ABE67" s="2"/>
      <c r="ABF67" s="2"/>
      <c r="ABG67" s="2"/>
      <c r="ABH67" s="2"/>
      <c r="ABI67" s="2"/>
      <c r="ABJ67" s="2"/>
      <c r="ABK67" s="2"/>
      <c r="ABL67" s="2"/>
      <c r="ABM67" s="2"/>
      <c r="ABN67" s="2"/>
      <c r="ABO67" s="2"/>
      <c r="ABP67" s="2"/>
      <c r="ABQ67" s="2"/>
      <c r="ABR67" s="2"/>
      <c r="ABS67" s="2"/>
      <c r="ABT67" s="2"/>
      <c r="ABU67" s="2"/>
      <c r="ABV67" s="2"/>
      <c r="ABW67" s="2"/>
      <c r="ABX67" s="2"/>
      <c r="ABY67" s="2"/>
      <c r="ABZ67" s="2"/>
      <c r="ACA67" s="2"/>
      <c r="ACB67" s="2"/>
      <c r="ACC67" s="2"/>
      <c r="ACD67" s="2"/>
      <c r="ACE67" s="2"/>
      <c r="ACF67" s="2"/>
      <c r="ACG67" s="2"/>
      <c r="ACH67" s="2"/>
      <c r="ACI67" s="2"/>
      <c r="ACJ67" s="2"/>
      <c r="ACK67" s="2"/>
      <c r="ACL67" s="2"/>
      <c r="ACM67" s="2"/>
      <c r="ACN67" s="2"/>
      <c r="ACO67" s="2"/>
      <c r="ACP67" s="2"/>
      <c r="ACQ67" s="2"/>
      <c r="ACR67" s="2"/>
      <c r="ACS67" s="2"/>
      <c r="ACT67" s="2"/>
      <c r="ACU67" s="2"/>
      <c r="ACV67" s="2"/>
      <c r="ACW67" s="2"/>
      <c r="ACX67" s="2"/>
      <c r="ACY67" s="2"/>
      <c r="ACZ67" s="2"/>
      <c r="ADA67" s="2"/>
      <c r="ADB67" s="2"/>
      <c r="ADC67" s="2"/>
      <c r="ADD67" s="2"/>
      <c r="ADE67" s="2"/>
      <c r="ADF67" s="2"/>
      <c r="ADG67" s="2"/>
      <c r="ADH67" s="2"/>
      <c r="ADI67" s="2"/>
      <c r="ADJ67" s="2"/>
      <c r="ADK67" s="2"/>
      <c r="ADL67" s="2"/>
      <c r="ADM67" s="2"/>
      <c r="ADN67" s="2"/>
      <c r="ADO67" s="2"/>
      <c r="ADP67" s="2"/>
      <c r="ADQ67" s="2"/>
      <c r="ADR67" s="2"/>
      <c r="ADS67" s="2"/>
      <c r="ADT67" s="2"/>
      <c r="ADU67" s="2"/>
      <c r="ADV67" s="2"/>
      <c r="ADW67" s="2"/>
      <c r="ADX67" s="2"/>
      <c r="ADY67" s="2"/>
      <c r="ADZ67" s="2"/>
      <c r="AEA67" s="2"/>
      <c r="AEB67" s="2"/>
      <c r="AEC67" s="2"/>
      <c r="AED67" s="2"/>
      <c r="AEE67" s="2"/>
      <c r="AEF67" s="2"/>
      <c r="AEG67" s="2"/>
      <c r="AEH67" s="2"/>
      <c r="AEI67" s="2"/>
      <c r="AEJ67" s="2"/>
      <c r="AEK67" s="2"/>
      <c r="AEL67" s="2"/>
      <c r="AEM67" s="2"/>
      <c r="AEN67" s="2"/>
      <c r="AEO67" s="2"/>
      <c r="AEP67" s="2"/>
      <c r="AEQ67" s="2"/>
      <c r="AER67" s="2"/>
      <c r="AES67" s="2"/>
      <c r="AET67" s="2"/>
      <c r="AEU67" s="2"/>
      <c r="AEV67" s="2"/>
      <c r="AEW67" s="2"/>
      <c r="AEX67" s="2"/>
      <c r="AEY67" s="2"/>
      <c r="AEZ67" s="2"/>
      <c r="AFA67" s="2"/>
      <c r="AFB67" s="2"/>
      <c r="AFC67" s="2"/>
      <c r="AFD67" s="2"/>
      <c r="AFE67" s="2"/>
      <c r="AFF67" s="2"/>
      <c r="AFG67" s="2"/>
      <c r="AFH67" s="2"/>
      <c r="AFI67" s="2"/>
      <c r="AFJ67" s="2"/>
      <c r="AFK67" s="2"/>
      <c r="AFL67" s="2"/>
      <c r="AFM67" s="2"/>
      <c r="AFN67" s="2"/>
      <c r="AFO67" s="2"/>
      <c r="AFP67" s="2"/>
      <c r="AFQ67" s="2"/>
      <c r="AFR67" s="2"/>
      <c r="AFS67" s="2"/>
      <c r="AFT67" s="2"/>
      <c r="AFU67" s="2"/>
      <c r="AFV67" s="2"/>
      <c r="AFW67" s="2"/>
      <c r="AFX67" s="2"/>
      <c r="AFY67" s="2"/>
      <c r="AFZ67" s="2"/>
      <c r="AGA67" s="2"/>
      <c r="AGB67" s="2"/>
      <c r="AGC67" s="2"/>
      <c r="AGD67" s="2"/>
      <c r="AGE67" s="2"/>
      <c r="AGF67" s="2"/>
      <c r="AGG67" s="2"/>
      <c r="AGH67" s="2"/>
      <c r="AGI67" s="2"/>
      <c r="AGJ67" s="2"/>
      <c r="AGK67" s="2"/>
      <c r="AGL67" s="2"/>
      <c r="AGM67" s="2"/>
      <c r="AGN67" s="2"/>
      <c r="AGO67" s="2"/>
      <c r="AGP67" s="2"/>
      <c r="AGQ67" s="2"/>
      <c r="AGR67" s="2"/>
      <c r="AGS67" s="2"/>
      <c r="AGT67" s="2"/>
      <c r="AGU67" s="2"/>
      <c r="AGV67" s="2"/>
      <c r="AGW67" s="2"/>
      <c r="AGX67" s="2"/>
      <c r="AGY67" s="2"/>
      <c r="AGZ67" s="2"/>
      <c r="AHA67" s="2"/>
      <c r="AHB67" s="2"/>
      <c r="AHC67" s="2"/>
      <c r="AHD67" s="2"/>
      <c r="AHE67" s="2"/>
      <c r="AHF67" s="2"/>
      <c r="AHG67" s="2"/>
      <c r="AHH67" s="2"/>
      <c r="AHI67" s="2"/>
      <c r="AHJ67" s="2"/>
      <c r="AHK67" s="2"/>
      <c r="AHL67" s="2"/>
      <c r="AHM67" s="2"/>
      <c r="AHN67" s="2"/>
      <c r="AHO67" s="2"/>
      <c r="AHP67" s="2"/>
      <c r="AHQ67" s="2"/>
      <c r="AHR67" s="2"/>
      <c r="AHS67" s="2"/>
      <c r="AHT67" s="2"/>
      <c r="AHU67" s="2"/>
      <c r="AHV67" s="2"/>
      <c r="AHW67" s="2"/>
      <c r="AHX67" s="2"/>
      <c r="AHY67" s="2"/>
      <c r="AHZ67" s="2"/>
      <c r="AIA67" s="2"/>
      <c r="AIB67" s="2"/>
      <c r="AIC67" s="2"/>
      <c r="AID67" s="2"/>
      <c r="AIE67" s="2"/>
      <c r="AIF67" s="2"/>
      <c r="AIG67" s="2"/>
      <c r="AIH67" s="2"/>
      <c r="AII67" s="2"/>
      <c r="AIJ67" s="2"/>
      <c r="AIK67" s="2"/>
      <c r="AIL67" s="2"/>
      <c r="AIM67" s="2"/>
      <c r="AIN67" s="2"/>
      <c r="AIO67" s="2"/>
      <c r="AIP67" s="2"/>
      <c r="AIQ67" s="2"/>
      <c r="AIR67" s="2"/>
      <c r="AIS67" s="2"/>
      <c r="AIT67" s="2"/>
      <c r="AIU67" s="2"/>
      <c r="AIV67" s="2"/>
      <c r="AIW67" s="2"/>
      <c r="AIX67" s="2"/>
      <c r="AIY67" s="2"/>
      <c r="AIZ67" s="2"/>
      <c r="AJA67" s="2"/>
      <c r="AJB67" s="2"/>
      <c r="AJC67" s="2"/>
      <c r="AJD67" s="2"/>
      <c r="AJE67" s="2"/>
      <c r="AJF67" s="2"/>
      <c r="AJG67" s="2"/>
      <c r="AJH67" s="2"/>
      <c r="AJI67" s="2"/>
      <c r="AJJ67" s="2"/>
      <c r="AJK67" s="2"/>
      <c r="AJL67" s="2"/>
      <c r="AJM67" s="2"/>
      <c r="AJN67" s="2"/>
      <c r="AJO67" s="2"/>
      <c r="AJP67" s="2"/>
      <c r="AJQ67" s="2"/>
      <c r="AJR67" s="2"/>
      <c r="AJS67" s="2"/>
      <c r="AJT67" s="2"/>
      <c r="AJU67" s="2"/>
      <c r="AJV67" s="2"/>
      <c r="AJW67" s="2"/>
      <c r="AJX67" s="2"/>
      <c r="AJY67" s="2"/>
      <c r="AJZ67" s="2"/>
      <c r="AKA67" s="2"/>
      <c r="AKB67" s="2"/>
      <c r="AKC67" s="2"/>
      <c r="AKD67" s="2"/>
      <c r="AKE67" s="2"/>
      <c r="AKF67" s="2"/>
      <c r="AKG67" s="2"/>
      <c r="AKH67" s="2"/>
      <c r="AKI67" s="2"/>
      <c r="AKJ67" s="2"/>
      <c r="AKK67" s="2"/>
      <c r="AKL67" s="2"/>
      <c r="AKM67" s="2"/>
      <c r="AKN67" s="2"/>
      <c r="AKO67" s="2"/>
      <c r="AKP67" s="2"/>
      <c r="AKQ67" s="2"/>
      <c r="AKR67" s="2"/>
      <c r="AKS67" s="2"/>
      <c r="AKT67" s="2"/>
      <c r="AKU67" s="2"/>
      <c r="AKV67" s="2"/>
      <c r="AKW67" s="2"/>
      <c r="AKX67" s="2"/>
      <c r="AKY67" s="2"/>
      <c r="AKZ67" s="2"/>
      <c r="ALA67" s="2"/>
      <c r="ALB67" s="2"/>
      <c r="ALC67" s="2"/>
      <c r="ALD67" s="2"/>
      <c r="ALE67" s="2"/>
      <c r="ALF67" s="2"/>
      <c r="ALG67" s="2"/>
      <c r="ALH67" s="2"/>
      <c r="ALI67" s="2"/>
      <c r="ALJ67" s="2"/>
      <c r="ALK67" s="2"/>
      <c r="ALL67" s="2"/>
      <c r="ALM67" s="2"/>
      <c r="ALN67" s="2"/>
      <c r="ALO67" s="2"/>
      <c r="ALP67" s="2"/>
      <c r="ALQ67" s="2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>
      <c r="A68" s="5" t="s">
        <v>44</v>
      </c>
      <c r="B68" s="8">
        <v>20000</v>
      </c>
      <c r="C68" s="9">
        <f>-B68</f>
        <v>-20000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  <c r="SG68" s="2"/>
      <c r="SH68" s="2"/>
      <c r="SI68" s="2"/>
      <c r="SJ68" s="2"/>
      <c r="SK68" s="2"/>
      <c r="SL68" s="2"/>
      <c r="SM68" s="2"/>
      <c r="SN68" s="2"/>
      <c r="SO68" s="2"/>
      <c r="SP68" s="2"/>
      <c r="SQ68" s="2"/>
      <c r="SR68" s="2"/>
      <c r="SS68" s="2"/>
      <c r="ST68" s="2"/>
      <c r="SU68" s="2"/>
      <c r="SV68" s="2"/>
      <c r="SW68" s="2"/>
      <c r="SX68" s="2"/>
      <c r="SY68" s="2"/>
      <c r="SZ68" s="2"/>
      <c r="TA68" s="2"/>
      <c r="TB68" s="2"/>
      <c r="TC68" s="2"/>
      <c r="TD68" s="2"/>
      <c r="TE68" s="2"/>
      <c r="TF68" s="2"/>
      <c r="TG68" s="2"/>
      <c r="TH68" s="2"/>
      <c r="TI68" s="2"/>
      <c r="TJ68" s="2"/>
      <c r="TK68" s="2"/>
      <c r="TL68" s="2"/>
      <c r="TM68" s="2"/>
      <c r="TN68" s="2"/>
      <c r="TO68" s="2"/>
      <c r="TP68" s="2"/>
      <c r="TQ68" s="2"/>
      <c r="TR68" s="2"/>
      <c r="TS68" s="2"/>
      <c r="TT68" s="2"/>
      <c r="TU68" s="2"/>
      <c r="TV68" s="2"/>
      <c r="TW68" s="2"/>
      <c r="TX68" s="2"/>
      <c r="TY68" s="2"/>
      <c r="TZ68" s="2"/>
      <c r="UA68" s="2"/>
      <c r="UB68" s="2"/>
      <c r="UC68" s="2"/>
      <c r="UD68" s="2"/>
      <c r="UE68" s="2"/>
      <c r="UF68" s="2"/>
      <c r="UG68" s="2"/>
      <c r="UH68" s="2"/>
      <c r="UI68" s="2"/>
      <c r="UJ68" s="2"/>
      <c r="UK68" s="2"/>
      <c r="UL68" s="2"/>
      <c r="UM68" s="2"/>
      <c r="UN68" s="2"/>
      <c r="UO68" s="2"/>
      <c r="UP68" s="2"/>
      <c r="UQ68" s="2"/>
      <c r="UR68" s="2"/>
      <c r="US68" s="2"/>
      <c r="UT68" s="2"/>
      <c r="UU68" s="2"/>
      <c r="UV68" s="2"/>
      <c r="UW68" s="2"/>
      <c r="UX68" s="2"/>
      <c r="UY68" s="2"/>
      <c r="UZ68" s="2"/>
      <c r="VA68" s="2"/>
      <c r="VB68" s="2"/>
      <c r="VC68" s="2"/>
      <c r="VD68" s="2"/>
      <c r="VE68" s="2"/>
      <c r="VF68" s="2"/>
      <c r="VG68" s="2"/>
      <c r="VH68" s="2"/>
      <c r="VI68" s="2"/>
      <c r="VJ68" s="2"/>
      <c r="VK68" s="2"/>
      <c r="VL68" s="2"/>
      <c r="VM68" s="2"/>
      <c r="VN68" s="2"/>
      <c r="VO68" s="2"/>
      <c r="VP68" s="2"/>
      <c r="VQ68" s="2"/>
      <c r="VR68" s="2"/>
      <c r="VS68" s="2"/>
      <c r="VT68" s="2"/>
      <c r="VU68" s="2"/>
      <c r="VV68" s="2"/>
      <c r="VW68" s="2"/>
      <c r="VX68" s="2"/>
      <c r="VY68" s="2"/>
      <c r="VZ68" s="2"/>
      <c r="WA68" s="2"/>
      <c r="WB68" s="2"/>
      <c r="WC68" s="2"/>
      <c r="WD68" s="2"/>
      <c r="WE68" s="2"/>
      <c r="WF68" s="2"/>
      <c r="WG68" s="2"/>
      <c r="WH68" s="2"/>
      <c r="WI68" s="2"/>
      <c r="WJ68" s="2"/>
      <c r="WK68" s="2"/>
      <c r="WL68" s="2"/>
      <c r="WM68" s="2"/>
      <c r="WN68" s="2"/>
      <c r="WO68" s="2"/>
      <c r="WP68" s="2"/>
      <c r="WQ68" s="2"/>
      <c r="WR68" s="2"/>
      <c r="WS68" s="2"/>
      <c r="WT68" s="2"/>
      <c r="WU68" s="2"/>
      <c r="WV68" s="2"/>
      <c r="WW68" s="2"/>
      <c r="WX68" s="2"/>
      <c r="WY68" s="2"/>
      <c r="WZ68" s="2"/>
      <c r="XA68" s="2"/>
      <c r="XB68" s="2"/>
      <c r="XC68" s="2"/>
      <c r="XD68" s="2"/>
      <c r="XE68" s="2"/>
      <c r="XF68" s="2"/>
      <c r="XG68" s="2"/>
      <c r="XH68" s="2"/>
      <c r="XI68" s="2"/>
      <c r="XJ68" s="2"/>
      <c r="XK68" s="2"/>
      <c r="XL68" s="2"/>
      <c r="XM68" s="2"/>
      <c r="XN68" s="2"/>
      <c r="XO68" s="2"/>
      <c r="XP68" s="2"/>
      <c r="XQ68" s="2"/>
      <c r="XR68" s="2"/>
      <c r="XS68" s="2"/>
      <c r="XT68" s="2"/>
      <c r="XU68" s="2"/>
      <c r="XV68" s="2"/>
      <c r="XW68" s="2"/>
      <c r="XX68" s="2"/>
      <c r="XY68" s="2"/>
      <c r="XZ68" s="2"/>
      <c r="YA68" s="2"/>
      <c r="YB68" s="2"/>
      <c r="YC68" s="2"/>
      <c r="YD68" s="2"/>
      <c r="YE68" s="2"/>
      <c r="YF68" s="2"/>
      <c r="YG68" s="2"/>
      <c r="YH68" s="2"/>
      <c r="YI68" s="2"/>
      <c r="YJ68" s="2"/>
      <c r="YK68" s="2"/>
      <c r="YL68" s="2"/>
      <c r="YM68" s="2"/>
      <c r="YN68" s="2"/>
      <c r="YO68" s="2"/>
      <c r="YP68" s="2"/>
      <c r="YQ68" s="2"/>
      <c r="YR68" s="2"/>
      <c r="YS68" s="2"/>
      <c r="YT68" s="2"/>
      <c r="YU68" s="2"/>
      <c r="YV68" s="2"/>
      <c r="YW68" s="2"/>
      <c r="YX68" s="2"/>
      <c r="YY68" s="2"/>
      <c r="YZ68" s="2"/>
      <c r="ZA68" s="2"/>
      <c r="ZB68" s="2"/>
      <c r="ZC68" s="2"/>
      <c r="ZD68" s="2"/>
      <c r="ZE68" s="2"/>
      <c r="ZF68" s="2"/>
      <c r="ZG68" s="2"/>
      <c r="ZH68" s="2"/>
      <c r="ZI68" s="2"/>
      <c r="ZJ68" s="2"/>
      <c r="ZK68" s="2"/>
      <c r="ZL68" s="2"/>
      <c r="ZM68" s="2"/>
      <c r="ZN68" s="2"/>
      <c r="ZO68" s="2"/>
      <c r="ZP68" s="2"/>
      <c r="ZQ68" s="2"/>
      <c r="ZR68" s="2"/>
      <c r="ZS68" s="2"/>
      <c r="ZT68" s="2"/>
      <c r="ZU68" s="2"/>
      <c r="ZV68" s="2"/>
      <c r="ZW68" s="2"/>
      <c r="ZX68" s="2"/>
      <c r="ZY68" s="2"/>
      <c r="ZZ68" s="2"/>
      <c r="AAA68" s="2"/>
      <c r="AAB68" s="2"/>
      <c r="AAC68" s="2"/>
      <c r="AAD68" s="2"/>
      <c r="AAE68" s="2"/>
      <c r="AAF68" s="2"/>
      <c r="AAG68" s="2"/>
      <c r="AAH68" s="2"/>
      <c r="AAI68" s="2"/>
      <c r="AAJ68" s="2"/>
      <c r="AAK68" s="2"/>
      <c r="AAL68" s="2"/>
      <c r="AAM68" s="2"/>
      <c r="AAN68" s="2"/>
      <c r="AAO68" s="2"/>
      <c r="AAP68" s="2"/>
      <c r="AAQ68" s="2"/>
      <c r="AAR68" s="2"/>
      <c r="AAS68" s="2"/>
      <c r="AAT68" s="2"/>
      <c r="AAU68" s="2"/>
      <c r="AAV68" s="2"/>
      <c r="AAW68" s="2"/>
      <c r="AAX68" s="2"/>
      <c r="AAY68" s="2"/>
      <c r="AAZ68" s="2"/>
      <c r="ABA68" s="2"/>
      <c r="ABB68" s="2"/>
      <c r="ABC68" s="2"/>
      <c r="ABD68" s="2"/>
      <c r="ABE68" s="2"/>
      <c r="ABF68" s="2"/>
      <c r="ABG68" s="2"/>
      <c r="ABH68" s="2"/>
      <c r="ABI68" s="2"/>
      <c r="ABJ68" s="2"/>
      <c r="ABK68" s="2"/>
      <c r="ABL68" s="2"/>
      <c r="ABM68" s="2"/>
      <c r="ABN68" s="2"/>
      <c r="ABO68" s="2"/>
      <c r="ABP68" s="2"/>
      <c r="ABQ68" s="2"/>
      <c r="ABR68" s="2"/>
      <c r="ABS68" s="2"/>
      <c r="ABT68" s="2"/>
      <c r="ABU68" s="2"/>
      <c r="ABV68" s="2"/>
      <c r="ABW68" s="2"/>
      <c r="ABX68" s="2"/>
      <c r="ABY68" s="2"/>
      <c r="ABZ68" s="2"/>
      <c r="ACA68" s="2"/>
      <c r="ACB68" s="2"/>
      <c r="ACC68" s="2"/>
      <c r="ACD68" s="2"/>
      <c r="ACE68" s="2"/>
      <c r="ACF68" s="2"/>
      <c r="ACG68" s="2"/>
      <c r="ACH68" s="2"/>
      <c r="ACI68" s="2"/>
      <c r="ACJ68" s="2"/>
      <c r="ACK68" s="2"/>
      <c r="ACL68" s="2"/>
      <c r="ACM68" s="2"/>
      <c r="ACN68" s="2"/>
      <c r="ACO68" s="2"/>
      <c r="ACP68" s="2"/>
      <c r="ACQ68" s="2"/>
      <c r="ACR68" s="2"/>
      <c r="ACS68" s="2"/>
      <c r="ACT68" s="2"/>
      <c r="ACU68" s="2"/>
      <c r="ACV68" s="2"/>
      <c r="ACW68" s="2"/>
      <c r="ACX68" s="2"/>
      <c r="ACY68" s="2"/>
      <c r="ACZ68" s="2"/>
      <c r="ADA68" s="2"/>
      <c r="ADB68" s="2"/>
      <c r="ADC68" s="2"/>
      <c r="ADD68" s="2"/>
      <c r="ADE68" s="2"/>
      <c r="ADF68" s="2"/>
      <c r="ADG68" s="2"/>
      <c r="ADH68" s="2"/>
      <c r="ADI68" s="2"/>
      <c r="ADJ68" s="2"/>
      <c r="ADK68" s="2"/>
      <c r="ADL68" s="2"/>
      <c r="ADM68" s="2"/>
      <c r="ADN68" s="2"/>
      <c r="ADO68" s="2"/>
      <c r="ADP68" s="2"/>
      <c r="ADQ68" s="2"/>
      <c r="ADR68" s="2"/>
      <c r="ADS68" s="2"/>
      <c r="ADT68" s="2"/>
      <c r="ADU68" s="2"/>
      <c r="ADV68" s="2"/>
      <c r="ADW68" s="2"/>
      <c r="ADX68" s="2"/>
      <c r="ADY68" s="2"/>
      <c r="ADZ68" s="2"/>
      <c r="AEA68" s="2"/>
      <c r="AEB68" s="2"/>
      <c r="AEC68" s="2"/>
      <c r="AED68" s="2"/>
      <c r="AEE68" s="2"/>
      <c r="AEF68" s="2"/>
      <c r="AEG68" s="2"/>
      <c r="AEH68" s="2"/>
      <c r="AEI68" s="2"/>
      <c r="AEJ68" s="2"/>
      <c r="AEK68" s="2"/>
      <c r="AEL68" s="2"/>
      <c r="AEM68" s="2"/>
      <c r="AEN68" s="2"/>
      <c r="AEO68" s="2"/>
      <c r="AEP68" s="2"/>
      <c r="AEQ68" s="2"/>
      <c r="AER68" s="2"/>
      <c r="AES68" s="2"/>
      <c r="AET68" s="2"/>
      <c r="AEU68" s="2"/>
      <c r="AEV68" s="2"/>
      <c r="AEW68" s="2"/>
      <c r="AEX68" s="2"/>
      <c r="AEY68" s="2"/>
      <c r="AEZ68" s="2"/>
      <c r="AFA68" s="2"/>
      <c r="AFB68" s="2"/>
      <c r="AFC68" s="2"/>
      <c r="AFD68" s="2"/>
      <c r="AFE68" s="2"/>
      <c r="AFF68" s="2"/>
      <c r="AFG68" s="2"/>
      <c r="AFH68" s="2"/>
      <c r="AFI68" s="2"/>
      <c r="AFJ68" s="2"/>
      <c r="AFK68" s="2"/>
      <c r="AFL68" s="2"/>
      <c r="AFM68" s="2"/>
      <c r="AFN68" s="2"/>
      <c r="AFO68" s="2"/>
      <c r="AFP68" s="2"/>
      <c r="AFQ68" s="2"/>
      <c r="AFR68" s="2"/>
      <c r="AFS68" s="2"/>
      <c r="AFT68" s="2"/>
      <c r="AFU68" s="2"/>
      <c r="AFV68" s="2"/>
      <c r="AFW68" s="2"/>
      <c r="AFX68" s="2"/>
      <c r="AFY68" s="2"/>
      <c r="AFZ68" s="2"/>
      <c r="AGA68" s="2"/>
      <c r="AGB68" s="2"/>
      <c r="AGC68" s="2"/>
      <c r="AGD68" s="2"/>
      <c r="AGE68" s="2"/>
      <c r="AGF68" s="2"/>
      <c r="AGG68" s="2"/>
      <c r="AGH68" s="2"/>
      <c r="AGI68" s="2"/>
      <c r="AGJ68" s="2"/>
      <c r="AGK68" s="2"/>
      <c r="AGL68" s="2"/>
      <c r="AGM68" s="2"/>
      <c r="AGN68" s="2"/>
      <c r="AGO68" s="2"/>
      <c r="AGP68" s="2"/>
      <c r="AGQ68" s="2"/>
      <c r="AGR68" s="2"/>
      <c r="AGS68" s="2"/>
      <c r="AGT68" s="2"/>
      <c r="AGU68" s="2"/>
      <c r="AGV68" s="2"/>
      <c r="AGW68" s="2"/>
      <c r="AGX68" s="2"/>
      <c r="AGY68" s="2"/>
      <c r="AGZ68" s="2"/>
      <c r="AHA68" s="2"/>
      <c r="AHB68" s="2"/>
      <c r="AHC68" s="2"/>
      <c r="AHD68" s="2"/>
      <c r="AHE68" s="2"/>
      <c r="AHF68" s="2"/>
      <c r="AHG68" s="2"/>
      <c r="AHH68" s="2"/>
      <c r="AHI68" s="2"/>
      <c r="AHJ68" s="2"/>
      <c r="AHK68" s="2"/>
      <c r="AHL68" s="2"/>
      <c r="AHM68" s="2"/>
      <c r="AHN68" s="2"/>
      <c r="AHO68" s="2"/>
      <c r="AHP68" s="2"/>
      <c r="AHQ68" s="2"/>
      <c r="AHR68" s="2"/>
      <c r="AHS68" s="2"/>
      <c r="AHT68" s="2"/>
      <c r="AHU68" s="2"/>
      <c r="AHV68" s="2"/>
      <c r="AHW68" s="2"/>
      <c r="AHX68" s="2"/>
      <c r="AHY68" s="2"/>
      <c r="AHZ68" s="2"/>
      <c r="AIA68" s="2"/>
      <c r="AIB68" s="2"/>
      <c r="AIC68" s="2"/>
      <c r="AID68" s="2"/>
      <c r="AIE68" s="2"/>
      <c r="AIF68" s="2"/>
      <c r="AIG68" s="2"/>
      <c r="AIH68" s="2"/>
      <c r="AII68" s="2"/>
      <c r="AIJ68" s="2"/>
      <c r="AIK68" s="2"/>
      <c r="AIL68" s="2"/>
      <c r="AIM68" s="2"/>
      <c r="AIN68" s="2"/>
      <c r="AIO68" s="2"/>
      <c r="AIP68" s="2"/>
      <c r="AIQ68" s="2"/>
      <c r="AIR68" s="2"/>
      <c r="AIS68" s="2"/>
      <c r="AIT68" s="2"/>
      <c r="AIU68" s="2"/>
      <c r="AIV68" s="2"/>
      <c r="AIW68" s="2"/>
      <c r="AIX68" s="2"/>
      <c r="AIY68" s="2"/>
      <c r="AIZ68" s="2"/>
      <c r="AJA68" s="2"/>
      <c r="AJB68" s="2"/>
      <c r="AJC68" s="2"/>
      <c r="AJD68" s="2"/>
      <c r="AJE68" s="2"/>
      <c r="AJF68" s="2"/>
      <c r="AJG68" s="2"/>
      <c r="AJH68" s="2"/>
      <c r="AJI68" s="2"/>
      <c r="AJJ68" s="2"/>
      <c r="AJK68" s="2"/>
      <c r="AJL68" s="2"/>
      <c r="AJM68" s="2"/>
      <c r="AJN68" s="2"/>
      <c r="AJO68" s="2"/>
      <c r="AJP68" s="2"/>
      <c r="AJQ68" s="2"/>
      <c r="AJR68" s="2"/>
      <c r="AJS68" s="2"/>
      <c r="AJT68" s="2"/>
      <c r="AJU68" s="2"/>
      <c r="AJV68" s="2"/>
      <c r="AJW68" s="2"/>
      <c r="AJX68" s="2"/>
      <c r="AJY68" s="2"/>
      <c r="AJZ68" s="2"/>
      <c r="AKA68" s="2"/>
      <c r="AKB68" s="2"/>
      <c r="AKC68" s="2"/>
      <c r="AKD68" s="2"/>
      <c r="AKE68" s="2"/>
      <c r="AKF68" s="2"/>
      <c r="AKG68" s="2"/>
      <c r="AKH68" s="2"/>
      <c r="AKI68" s="2"/>
      <c r="AKJ68" s="2"/>
      <c r="AKK68" s="2"/>
      <c r="AKL68" s="2"/>
      <c r="AKM68" s="2"/>
      <c r="AKN68" s="2"/>
      <c r="AKO68" s="2"/>
      <c r="AKP68" s="2"/>
      <c r="AKQ68" s="2"/>
      <c r="AKR68" s="2"/>
      <c r="AKS68" s="2"/>
      <c r="AKT68" s="2"/>
      <c r="AKU68" s="2"/>
      <c r="AKV68" s="2"/>
      <c r="AKW68" s="2"/>
      <c r="AKX68" s="2"/>
      <c r="AKY68" s="2"/>
      <c r="AKZ68" s="2"/>
      <c r="ALA68" s="2"/>
      <c r="ALB68" s="2"/>
      <c r="ALC68" s="2"/>
      <c r="ALD68" s="2"/>
      <c r="ALE68" s="2"/>
      <c r="ALF68" s="2"/>
      <c r="ALG68" s="2"/>
      <c r="ALH68" s="2"/>
      <c r="ALI68" s="2"/>
      <c r="ALJ68" s="2"/>
      <c r="ALK68" s="2"/>
      <c r="ALL68" s="2"/>
      <c r="ALM68" s="2"/>
      <c r="ALN68" s="2"/>
      <c r="ALO68" s="2"/>
      <c r="ALP68" s="2"/>
      <c r="ALQ68" s="2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spans="1:1024">
      <c r="A69" s="5" t="s">
        <v>11</v>
      </c>
      <c r="B69" s="8">
        <v>17000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>
        <f>B69</f>
        <v>17000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  <c r="SG69" s="2"/>
      <c r="SH69" s="2"/>
      <c r="SI69" s="2"/>
      <c r="SJ69" s="2"/>
      <c r="SK69" s="2"/>
      <c r="SL69" s="2"/>
      <c r="SM69" s="2"/>
      <c r="SN69" s="2"/>
      <c r="SO69" s="2"/>
      <c r="SP69" s="2"/>
      <c r="SQ69" s="2"/>
      <c r="SR69" s="2"/>
      <c r="SS69" s="2"/>
      <c r="ST69" s="2"/>
      <c r="SU69" s="2"/>
      <c r="SV69" s="2"/>
      <c r="SW69" s="2"/>
      <c r="SX69" s="2"/>
      <c r="SY69" s="2"/>
      <c r="SZ69" s="2"/>
      <c r="TA69" s="2"/>
      <c r="TB69" s="2"/>
      <c r="TC69" s="2"/>
      <c r="TD69" s="2"/>
      <c r="TE69" s="2"/>
      <c r="TF69" s="2"/>
      <c r="TG69" s="2"/>
      <c r="TH69" s="2"/>
      <c r="TI69" s="2"/>
      <c r="TJ69" s="2"/>
      <c r="TK69" s="2"/>
      <c r="TL69" s="2"/>
      <c r="TM69" s="2"/>
      <c r="TN69" s="2"/>
      <c r="TO69" s="2"/>
      <c r="TP69" s="2"/>
      <c r="TQ69" s="2"/>
      <c r="TR69" s="2"/>
      <c r="TS69" s="2"/>
      <c r="TT69" s="2"/>
      <c r="TU69" s="2"/>
      <c r="TV69" s="2"/>
      <c r="TW69" s="2"/>
      <c r="TX69" s="2"/>
      <c r="TY69" s="2"/>
      <c r="TZ69" s="2"/>
      <c r="UA69" s="2"/>
      <c r="UB69" s="2"/>
      <c r="UC69" s="2"/>
      <c r="UD69" s="2"/>
      <c r="UE69" s="2"/>
      <c r="UF69" s="2"/>
      <c r="UG69" s="2"/>
      <c r="UH69" s="2"/>
      <c r="UI69" s="2"/>
      <c r="UJ69" s="2"/>
      <c r="UK69" s="2"/>
      <c r="UL69" s="2"/>
      <c r="UM69" s="2"/>
      <c r="UN69" s="2"/>
      <c r="UO69" s="2"/>
      <c r="UP69" s="2"/>
      <c r="UQ69" s="2"/>
      <c r="UR69" s="2"/>
      <c r="US69" s="2"/>
      <c r="UT69" s="2"/>
      <c r="UU69" s="2"/>
      <c r="UV69" s="2"/>
      <c r="UW69" s="2"/>
      <c r="UX69" s="2"/>
      <c r="UY69" s="2"/>
      <c r="UZ69" s="2"/>
      <c r="VA69" s="2"/>
      <c r="VB69" s="2"/>
      <c r="VC69" s="2"/>
      <c r="VD69" s="2"/>
      <c r="VE69" s="2"/>
      <c r="VF69" s="2"/>
      <c r="VG69" s="2"/>
      <c r="VH69" s="2"/>
      <c r="VI69" s="2"/>
      <c r="VJ69" s="2"/>
      <c r="VK69" s="2"/>
      <c r="VL69" s="2"/>
      <c r="VM69" s="2"/>
      <c r="VN69" s="2"/>
      <c r="VO69" s="2"/>
      <c r="VP69" s="2"/>
      <c r="VQ69" s="2"/>
      <c r="VR69" s="2"/>
      <c r="VS69" s="2"/>
      <c r="VT69" s="2"/>
      <c r="VU69" s="2"/>
      <c r="VV69" s="2"/>
      <c r="VW69" s="2"/>
      <c r="VX69" s="2"/>
      <c r="VY69" s="2"/>
      <c r="VZ69" s="2"/>
      <c r="WA69" s="2"/>
      <c r="WB69" s="2"/>
      <c r="WC69" s="2"/>
      <c r="WD69" s="2"/>
      <c r="WE69" s="2"/>
      <c r="WF69" s="2"/>
      <c r="WG69" s="2"/>
      <c r="WH69" s="2"/>
      <c r="WI69" s="2"/>
      <c r="WJ69" s="2"/>
      <c r="WK69" s="2"/>
      <c r="WL69" s="2"/>
      <c r="WM69" s="2"/>
      <c r="WN69" s="2"/>
      <c r="WO69" s="2"/>
      <c r="WP69" s="2"/>
      <c r="WQ69" s="2"/>
      <c r="WR69" s="2"/>
      <c r="WS69" s="2"/>
      <c r="WT69" s="2"/>
      <c r="WU69" s="2"/>
      <c r="WV69" s="2"/>
      <c r="WW69" s="2"/>
      <c r="WX69" s="2"/>
      <c r="WY69" s="2"/>
      <c r="WZ69" s="2"/>
      <c r="XA69" s="2"/>
      <c r="XB69" s="2"/>
      <c r="XC69" s="2"/>
      <c r="XD69" s="2"/>
      <c r="XE69" s="2"/>
      <c r="XF69" s="2"/>
      <c r="XG69" s="2"/>
      <c r="XH69" s="2"/>
      <c r="XI69" s="2"/>
      <c r="XJ69" s="2"/>
      <c r="XK69" s="2"/>
      <c r="XL69" s="2"/>
      <c r="XM69" s="2"/>
      <c r="XN69" s="2"/>
      <c r="XO69" s="2"/>
      <c r="XP69" s="2"/>
      <c r="XQ69" s="2"/>
      <c r="XR69" s="2"/>
      <c r="XS69" s="2"/>
      <c r="XT69" s="2"/>
      <c r="XU69" s="2"/>
      <c r="XV69" s="2"/>
      <c r="XW69" s="2"/>
      <c r="XX69" s="2"/>
      <c r="XY69" s="2"/>
      <c r="XZ69" s="2"/>
      <c r="YA69" s="2"/>
      <c r="YB69" s="2"/>
      <c r="YC69" s="2"/>
      <c r="YD69" s="2"/>
      <c r="YE69" s="2"/>
      <c r="YF69" s="2"/>
      <c r="YG69" s="2"/>
      <c r="YH69" s="2"/>
      <c r="YI69" s="2"/>
      <c r="YJ69" s="2"/>
      <c r="YK69" s="2"/>
      <c r="YL69" s="2"/>
      <c r="YM69" s="2"/>
      <c r="YN69" s="2"/>
      <c r="YO69" s="2"/>
      <c r="YP69" s="2"/>
      <c r="YQ69" s="2"/>
      <c r="YR69" s="2"/>
      <c r="YS69" s="2"/>
      <c r="YT69" s="2"/>
      <c r="YU69" s="2"/>
      <c r="YV69" s="2"/>
      <c r="YW69" s="2"/>
      <c r="YX69" s="2"/>
      <c r="YY69" s="2"/>
      <c r="YZ69" s="2"/>
      <c r="ZA69" s="2"/>
      <c r="ZB69" s="2"/>
      <c r="ZC69" s="2"/>
      <c r="ZD69" s="2"/>
      <c r="ZE69" s="2"/>
      <c r="ZF69" s="2"/>
      <c r="ZG69" s="2"/>
      <c r="ZH69" s="2"/>
      <c r="ZI69" s="2"/>
      <c r="ZJ69" s="2"/>
      <c r="ZK69" s="2"/>
      <c r="ZL69" s="2"/>
      <c r="ZM69" s="2"/>
      <c r="ZN69" s="2"/>
      <c r="ZO69" s="2"/>
      <c r="ZP69" s="2"/>
      <c r="ZQ69" s="2"/>
      <c r="ZR69" s="2"/>
      <c r="ZS69" s="2"/>
      <c r="ZT69" s="2"/>
      <c r="ZU69" s="2"/>
      <c r="ZV69" s="2"/>
      <c r="ZW69" s="2"/>
      <c r="ZX69" s="2"/>
      <c r="ZY69" s="2"/>
      <c r="ZZ69" s="2"/>
      <c r="AAA69" s="2"/>
      <c r="AAB69" s="2"/>
      <c r="AAC69" s="2"/>
      <c r="AAD69" s="2"/>
      <c r="AAE69" s="2"/>
      <c r="AAF69" s="2"/>
      <c r="AAG69" s="2"/>
      <c r="AAH69" s="2"/>
      <c r="AAI69" s="2"/>
      <c r="AAJ69" s="2"/>
      <c r="AAK69" s="2"/>
      <c r="AAL69" s="2"/>
      <c r="AAM69" s="2"/>
      <c r="AAN69" s="2"/>
      <c r="AAO69" s="2"/>
      <c r="AAP69" s="2"/>
      <c r="AAQ69" s="2"/>
      <c r="AAR69" s="2"/>
      <c r="AAS69" s="2"/>
      <c r="AAT69" s="2"/>
      <c r="AAU69" s="2"/>
      <c r="AAV69" s="2"/>
      <c r="AAW69" s="2"/>
      <c r="AAX69" s="2"/>
      <c r="AAY69" s="2"/>
      <c r="AAZ69" s="2"/>
      <c r="ABA69" s="2"/>
      <c r="ABB69" s="2"/>
      <c r="ABC69" s="2"/>
      <c r="ABD69" s="2"/>
      <c r="ABE69" s="2"/>
      <c r="ABF69" s="2"/>
      <c r="ABG69" s="2"/>
      <c r="ABH69" s="2"/>
      <c r="ABI69" s="2"/>
      <c r="ABJ69" s="2"/>
      <c r="ABK69" s="2"/>
      <c r="ABL69" s="2"/>
      <c r="ABM69" s="2"/>
      <c r="ABN69" s="2"/>
      <c r="ABO69" s="2"/>
      <c r="ABP69" s="2"/>
      <c r="ABQ69" s="2"/>
      <c r="ABR69" s="2"/>
      <c r="ABS69" s="2"/>
      <c r="ABT69" s="2"/>
      <c r="ABU69" s="2"/>
      <c r="ABV69" s="2"/>
      <c r="ABW69" s="2"/>
      <c r="ABX69" s="2"/>
      <c r="ABY69" s="2"/>
      <c r="ABZ69" s="2"/>
      <c r="ACA69" s="2"/>
      <c r="ACB69" s="2"/>
      <c r="ACC69" s="2"/>
      <c r="ACD69" s="2"/>
      <c r="ACE69" s="2"/>
      <c r="ACF69" s="2"/>
      <c r="ACG69" s="2"/>
      <c r="ACH69" s="2"/>
      <c r="ACI69" s="2"/>
      <c r="ACJ69" s="2"/>
      <c r="ACK69" s="2"/>
      <c r="ACL69" s="2"/>
      <c r="ACM69" s="2"/>
      <c r="ACN69" s="2"/>
      <c r="ACO69" s="2"/>
      <c r="ACP69" s="2"/>
      <c r="ACQ69" s="2"/>
      <c r="ACR69" s="2"/>
      <c r="ACS69" s="2"/>
      <c r="ACT69" s="2"/>
      <c r="ACU69" s="2"/>
      <c r="ACV69" s="2"/>
      <c r="ACW69" s="2"/>
      <c r="ACX69" s="2"/>
      <c r="ACY69" s="2"/>
      <c r="ACZ69" s="2"/>
      <c r="ADA69" s="2"/>
      <c r="ADB69" s="2"/>
      <c r="ADC69" s="2"/>
      <c r="ADD69" s="2"/>
      <c r="ADE69" s="2"/>
      <c r="ADF69" s="2"/>
      <c r="ADG69" s="2"/>
      <c r="ADH69" s="2"/>
      <c r="ADI69" s="2"/>
      <c r="ADJ69" s="2"/>
      <c r="ADK69" s="2"/>
      <c r="ADL69" s="2"/>
      <c r="ADM69" s="2"/>
      <c r="ADN69" s="2"/>
      <c r="ADO69" s="2"/>
      <c r="ADP69" s="2"/>
      <c r="ADQ69" s="2"/>
      <c r="ADR69" s="2"/>
      <c r="ADS69" s="2"/>
      <c r="ADT69" s="2"/>
      <c r="ADU69" s="2"/>
      <c r="ADV69" s="2"/>
      <c r="ADW69" s="2"/>
      <c r="ADX69" s="2"/>
      <c r="ADY69" s="2"/>
      <c r="ADZ69" s="2"/>
      <c r="AEA69" s="2"/>
      <c r="AEB69" s="2"/>
      <c r="AEC69" s="2"/>
      <c r="AED69" s="2"/>
      <c r="AEE69" s="2"/>
      <c r="AEF69" s="2"/>
      <c r="AEG69" s="2"/>
      <c r="AEH69" s="2"/>
      <c r="AEI69" s="2"/>
      <c r="AEJ69" s="2"/>
      <c r="AEK69" s="2"/>
      <c r="AEL69" s="2"/>
      <c r="AEM69" s="2"/>
      <c r="AEN69" s="2"/>
      <c r="AEO69" s="2"/>
      <c r="AEP69" s="2"/>
      <c r="AEQ69" s="2"/>
      <c r="AER69" s="2"/>
      <c r="AES69" s="2"/>
      <c r="AET69" s="2"/>
      <c r="AEU69" s="2"/>
      <c r="AEV69" s="2"/>
      <c r="AEW69" s="2"/>
      <c r="AEX69" s="2"/>
      <c r="AEY69" s="2"/>
      <c r="AEZ69" s="2"/>
      <c r="AFA69" s="2"/>
      <c r="AFB69" s="2"/>
      <c r="AFC69" s="2"/>
      <c r="AFD69" s="2"/>
      <c r="AFE69" s="2"/>
      <c r="AFF69" s="2"/>
      <c r="AFG69" s="2"/>
      <c r="AFH69" s="2"/>
      <c r="AFI69" s="2"/>
      <c r="AFJ69" s="2"/>
      <c r="AFK69" s="2"/>
      <c r="AFL69" s="2"/>
      <c r="AFM69" s="2"/>
      <c r="AFN69" s="2"/>
      <c r="AFO69" s="2"/>
      <c r="AFP69" s="2"/>
      <c r="AFQ69" s="2"/>
      <c r="AFR69" s="2"/>
      <c r="AFS69" s="2"/>
      <c r="AFT69" s="2"/>
      <c r="AFU69" s="2"/>
      <c r="AFV69" s="2"/>
      <c r="AFW69" s="2"/>
      <c r="AFX69" s="2"/>
      <c r="AFY69" s="2"/>
      <c r="AFZ69" s="2"/>
      <c r="AGA69" s="2"/>
      <c r="AGB69" s="2"/>
      <c r="AGC69" s="2"/>
      <c r="AGD69" s="2"/>
      <c r="AGE69" s="2"/>
      <c r="AGF69" s="2"/>
      <c r="AGG69" s="2"/>
      <c r="AGH69" s="2"/>
      <c r="AGI69" s="2"/>
      <c r="AGJ69" s="2"/>
      <c r="AGK69" s="2"/>
      <c r="AGL69" s="2"/>
      <c r="AGM69" s="2"/>
      <c r="AGN69" s="2"/>
      <c r="AGO69" s="2"/>
      <c r="AGP69" s="2"/>
      <c r="AGQ69" s="2"/>
      <c r="AGR69" s="2"/>
      <c r="AGS69" s="2"/>
      <c r="AGT69" s="2"/>
      <c r="AGU69" s="2"/>
      <c r="AGV69" s="2"/>
      <c r="AGW69" s="2"/>
      <c r="AGX69" s="2"/>
      <c r="AGY69" s="2"/>
      <c r="AGZ69" s="2"/>
      <c r="AHA69" s="2"/>
      <c r="AHB69" s="2"/>
      <c r="AHC69" s="2"/>
      <c r="AHD69" s="2"/>
      <c r="AHE69" s="2"/>
      <c r="AHF69" s="2"/>
      <c r="AHG69" s="2"/>
      <c r="AHH69" s="2"/>
      <c r="AHI69" s="2"/>
      <c r="AHJ69" s="2"/>
      <c r="AHK69" s="2"/>
      <c r="AHL69" s="2"/>
      <c r="AHM69" s="2"/>
      <c r="AHN69" s="2"/>
      <c r="AHO69" s="2"/>
      <c r="AHP69" s="2"/>
      <c r="AHQ69" s="2"/>
      <c r="AHR69" s="2"/>
      <c r="AHS69" s="2"/>
      <c r="AHT69" s="2"/>
      <c r="AHU69" s="2"/>
      <c r="AHV69" s="2"/>
      <c r="AHW69" s="2"/>
      <c r="AHX69" s="2"/>
      <c r="AHY69" s="2"/>
      <c r="AHZ69" s="2"/>
      <c r="AIA69" s="2"/>
      <c r="AIB69" s="2"/>
      <c r="AIC69" s="2"/>
      <c r="AID69" s="2"/>
      <c r="AIE69" s="2"/>
      <c r="AIF69" s="2"/>
      <c r="AIG69" s="2"/>
      <c r="AIH69" s="2"/>
      <c r="AII69" s="2"/>
      <c r="AIJ69" s="2"/>
      <c r="AIK69" s="2"/>
      <c r="AIL69" s="2"/>
      <c r="AIM69" s="2"/>
      <c r="AIN69" s="2"/>
      <c r="AIO69" s="2"/>
      <c r="AIP69" s="2"/>
      <c r="AIQ69" s="2"/>
      <c r="AIR69" s="2"/>
      <c r="AIS69" s="2"/>
      <c r="AIT69" s="2"/>
      <c r="AIU69" s="2"/>
      <c r="AIV69" s="2"/>
      <c r="AIW69" s="2"/>
      <c r="AIX69" s="2"/>
      <c r="AIY69" s="2"/>
      <c r="AIZ69" s="2"/>
      <c r="AJA69" s="2"/>
      <c r="AJB69" s="2"/>
      <c r="AJC69" s="2"/>
      <c r="AJD69" s="2"/>
      <c r="AJE69" s="2"/>
      <c r="AJF69" s="2"/>
      <c r="AJG69" s="2"/>
      <c r="AJH69" s="2"/>
      <c r="AJI69" s="2"/>
      <c r="AJJ69" s="2"/>
      <c r="AJK69" s="2"/>
      <c r="AJL69" s="2"/>
      <c r="AJM69" s="2"/>
      <c r="AJN69" s="2"/>
      <c r="AJO69" s="2"/>
      <c r="AJP69" s="2"/>
      <c r="AJQ69" s="2"/>
      <c r="AJR69" s="2"/>
      <c r="AJS69" s="2"/>
      <c r="AJT69" s="2"/>
      <c r="AJU69" s="2"/>
      <c r="AJV69" s="2"/>
      <c r="AJW69" s="2"/>
      <c r="AJX69" s="2"/>
      <c r="AJY69" s="2"/>
      <c r="AJZ69" s="2"/>
      <c r="AKA69" s="2"/>
      <c r="AKB69" s="2"/>
      <c r="AKC69" s="2"/>
      <c r="AKD69" s="2"/>
      <c r="AKE69" s="2"/>
      <c r="AKF69" s="2"/>
      <c r="AKG69" s="2"/>
      <c r="AKH69" s="2"/>
      <c r="AKI69" s="2"/>
      <c r="AKJ69" s="2"/>
      <c r="AKK69" s="2"/>
      <c r="AKL69" s="2"/>
      <c r="AKM69" s="2"/>
      <c r="AKN69" s="2"/>
      <c r="AKO69" s="2"/>
      <c r="AKP69" s="2"/>
      <c r="AKQ69" s="2"/>
      <c r="AKR69" s="2"/>
      <c r="AKS69" s="2"/>
      <c r="AKT69" s="2"/>
      <c r="AKU69" s="2"/>
      <c r="AKV69" s="2"/>
      <c r="AKW69" s="2"/>
      <c r="AKX69" s="2"/>
      <c r="AKY69" s="2"/>
      <c r="AKZ69" s="2"/>
      <c r="ALA69" s="2"/>
      <c r="ALB69" s="2"/>
      <c r="ALC69" s="2"/>
      <c r="ALD69" s="2"/>
      <c r="ALE69" s="2"/>
      <c r="ALF69" s="2"/>
      <c r="ALG69" s="2"/>
      <c r="ALH69" s="2"/>
      <c r="ALI69" s="2"/>
      <c r="ALJ69" s="2"/>
      <c r="ALK69" s="2"/>
      <c r="ALL69" s="2"/>
      <c r="ALM69" s="2"/>
      <c r="ALN69" s="2"/>
      <c r="ALO69" s="2"/>
      <c r="ALP69" s="2"/>
      <c r="ALQ69" s="2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spans="1:1024">
      <c r="A70" s="5" t="s">
        <v>12</v>
      </c>
      <c r="B70" s="8">
        <v>30000</v>
      </c>
      <c r="C70" s="9"/>
      <c r="D70" s="9"/>
      <c r="E70" s="9"/>
      <c r="F70" s="9"/>
      <c r="G70" s="9"/>
      <c r="H70" s="9">
        <f>-B70</f>
        <v>-30000</v>
      </c>
      <c r="I70" s="9"/>
      <c r="J70" s="9"/>
      <c r="K70" s="9"/>
      <c r="L70" s="9"/>
      <c r="M70" s="9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  <c r="ACG70" s="2"/>
      <c r="ACH70" s="2"/>
      <c r="ACI70" s="2"/>
      <c r="ACJ70" s="2"/>
      <c r="ACK70" s="2"/>
      <c r="ACL70" s="2"/>
      <c r="ACM70" s="2"/>
      <c r="ACN70" s="2"/>
      <c r="ACO70" s="2"/>
      <c r="ACP70" s="2"/>
      <c r="ACQ70" s="2"/>
      <c r="ACR70" s="2"/>
      <c r="ACS70" s="2"/>
      <c r="ACT70" s="2"/>
      <c r="ACU70" s="2"/>
      <c r="ACV70" s="2"/>
      <c r="ACW70" s="2"/>
      <c r="ACX70" s="2"/>
      <c r="ACY70" s="2"/>
      <c r="ACZ70" s="2"/>
      <c r="ADA70" s="2"/>
      <c r="ADB70" s="2"/>
      <c r="ADC70" s="2"/>
      <c r="ADD70" s="2"/>
      <c r="ADE70" s="2"/>
      <c r="ADF70" s="2"/>
      <c r="ADG70" s="2"/>
      <c r="ADH70" s="2"/>
      <c r="ADI70" s="2"/>
      <c r="ADJ70" s="2"/>
      <c r="ADK70" s="2"/>
      <c r="ADL70" s="2"/>
      <c r="ADM70" s="2"/>
      <c r="ADN70" s="2"/>
      <c r="ADO70" s="2"/>
      <c r="ADP70" s="2"/>
      <c r="ADQ70" s="2"/>
      <c r="ADR70" s="2"/>
      <c r="ADS70" s="2"/>
      <c r="ADT70" s="2"/>
      <c r="ADU70" s="2"/>
      <c r="ADV70" s="2"/>
      <c r="ADW70" s="2"/>
      <c r="ADX70" s="2"/>
      <c r="ADY70" s="2"/>
      <c r="ADZ70" s="2"/>
      <c r="AEA70" s="2"/>
      <c r="AEB70" s="2"/>
      <c r="AEC70" s="2"/>
      <c r="AED70" s="2"/>
      <c r="AEE70" s="2"/>
      <c r="AEF70" s="2"/>
      <c r="AEG70" s="2"/>
      <c r="AEH70" s="2"/>
      <c r="AEI70" s="2"/>
      <c r="AEJ70" s="2"/>
      <c r="AEK70" s="2"/>
      <c r="AEL70" s="2"/>
      <c r="AEM70" s="2"/>
      <c r="AEN70" s="2"/>
      <c r="AEO70" s="2"/>
      <c r="AEP70" s="2"/>
      <c r="AEQ70" s="2"/>
      <c r="AER70" s="2"/>
      <c r="AES70" s="2"/>
      <c r="AET70" s="2"/>
      <c r="AEU70" s="2"/>
      <c r="AEV70" s="2"/>
      <c r="AEW70" s="2"/>
      <c r="AEX70" s="2"/>
      <c r="AEY70" s="2"/>
      <c r="AEZ70" s="2"/>
      <c r="AFA70" s="2"/>
      <c r="AFB70" s="2"/>
      <c r="AFC70" s="2"/>
      <c r="AFD70" s="2"/>
      <c r="AFE70" s="2"/>
      <c r="AFF70" s="2"/>
      <c r="AFG70" s="2"/>
      <c r="AFH70" s="2"/>
      <c r="AFI70" s="2"/>
      <c r="AFJ70" s="2"/>
      <c r="AFK70" s="2"/>
      <c r="AFL70" s="2"/>
      <c r="AFM70" s="2"/>
      <c r="AFN70" s="2"/>
      <c r="AFO70" s="2"/>
      <c r="AFP70" s="2"/>
      <c r="AFQ70" s="2"/>
      <c r="AFR70" s="2"/>
      <c r="AFS70" s="2"/>
      <c r="AFT70" s="2"/>
      <c r="AFU70" s="2"/>
      <c r="AFV70" s="2"/>
      <c r="AFW70" s="2"/>
      <c r="AFX70" s="2"/>
      <c r="AFY70" s="2"/>
      <c r="AFZ70" s="2"/>
      <c r="AGA70" s="2"/>
      <c r="AGB70" s="2"/>
      <c r="AGC70" s="2"/>
      <c r="AGD70" s="2"/>
      <c r="AGE70" s="2"/>
      <c r="AGF70" s="2"/>
      <c r="AGG70" s="2"/>
      <c r="AGH70" s="2"/>
      <c r="AGI70" s="2"/>
      <c r="AGJ70" s="2"/>
      <c r="AGK70" s="2"/>
      <c r="AGL70" s="2"/>
      <c r="AGM70" s="2"/>
      <c r="AGN70" s="2"/>
      <c r="AGO70" s="2"/>
      <c r="AGP70" s="2"/>
      <c r="AGQ70" s="2"/>
      <c r="AGR70" s="2"/>
      <c r="AGS70" s="2"/>
      <c r="AGT70" s="2"/>
      <c r="AGU70" s="2"/>
      <c r="AGV70" s="2"/>
      <c r="AGW70" s="2"/>
      <c r="AGX70" s="2"/>
      <c r="AGY70" s="2"/>
      <c r="AGZ70" s="2"/>
      <c r="AHA70" s="2"/>
      <c r="AHB70" s="2"/>
      <c r="AHC70" s="2"/>
      <c r="AHD70" s="2"/>
      <c r="AHE70" s="2"/>
      <c r="AHF70" s="2"/>
      <c r="AHG70" s="2"/>
      <c r="AHH70" s="2"/>
      <c r="AHI70" s="2"/>
      <c r="AHJ70" s="2"/>
      <c r="AHK70" s="2"/>
      <c r="AHL70" s="2"/>
      <c r="AHM70" s="2"/>
      <c r="AHN70" s="2"/>
      <c r="AHO70" s="2"/>
      <c r="AHP70" s="2"/>
      <c r="AHQ70" s="2"/>
      <c r="AHR70" s="2"/>
      <c r="AHS70" s="2"/>
      <c r="AHT70" s="2"/>
      <c r="AHU70" s="2"/>
      <c r="AHV70" s="2"/>
      <c r="AHW70" s="2"/>
      <c r="AHX70" s="2"/>
      <c r="AHY70" s="2"/>
      <c r="AHZ70" s="2"/>
      <c r="AIA70" s="2"/>
      <c r="AIB70" s="2"/>
      <c r="AIC70" s="2"/>
      <c r="AID70" s="2"/>
      <c r="AIE70" s="2"/>
      <c r="AIF70" s="2"/>
      <c r="AIG70" s="2"/>
      <c r="AIH70" s="2"/>
      <c r="AII70" s="2"/>
      <c r="AIJ70" s="2"/>
      <c r="AIK70" s="2"/>
      <c r="AIL70" s="2"/>
      <c r="AIM70" s="2"/>
      <c r="AIN70" s="2"/>
      <c r="AIO70" s="2"/>
      <c r="AIP70" s="2"/>
      <c r="AIQ70" s="2"/>
      <c r="AIR70" s="2"/>
      <c r="AIS70" s="2"/>
      <c r="AIT70" s="2"/>
      <c r="AIU70" s="2"/>
      <c r="AIV70" s="2"/>
      <c r="AIW70" s="2"/>
      <c r="AIX70" s="2"/>
      <c r="AIY70" s="2"/>
      <c r="AIZ70" s="2"/>
      <c r="AJA70" s="2"/>
      <c r="AJB70" s="2"/>
      <c r="AJC70" s="2"/>
      <c r="AJD70" s="2"/>
      <c r="AJE70" s="2"/>
      <c r="AJF70" s="2"/>
      <c r="AJG70" s="2"/>
      <c r="AJH70" s="2"/>
      <c r="AJI70" s="2"/>
      <c r="AJJ70" s="2"/>
      <c r="AJK70" s="2"/>
      <c r="AJL70" s="2"/>
      <c r="AJM70" s="2"/>
      <c r="AJN70" s="2"/>
      <c r="AJO70" s="2"/>
      <c r="AJP70" s="2"/>
      <c r="AJQ70" s="2"/>
      <c r="AJR70" s="2"/>
      <c r="AJS70" s="2"/>
      <c r="AJT70" s="2"/>
      <c r="AJU70" s="2"/>
      <c r="AJV70" s="2"/>
      <c r="AJW70" s="2"/>
      <c r="AJX70" s="2"/>
      <c r="AJY70" s="2"/>
      <c r="AJZ70" s="2"/>
      <c r="AKA70" s="2"/>
      <c r="AKB70" s="2"/>
      <c r="AKC70" s="2"/>
      <c r="AKD70" s="2"/>
      <c r="AKE70" s="2"/>
      <c r="AKF70" s="2"/>
      <c r="AKG70" s="2"/>
      <c r="AKH70" s="2"/>
      <c r="AKI70" s="2"/>
      <c r="AKJ70" s="2"/>
      <c r="AKK70" s="2"/>
      <c r="AKL70" s="2"/>
      <c r="AKM70" s="2"/>
      <c r="AKN70" s="2"/>
      <c r="AKO70" s="2"/>
      <c r="AKP70" s="2"/>
      <c r="AKQ70" s="2"/>
      <c r="AKR70" s="2"/>
      <c r="AKS70" s="2"/>
      <c r="AKT70" s="2"/>
      <c r="AKU70" s="2"/>
      <c r="AKV70" s="2"/>
      <c r="AKW70" s="2"/>
      <c r="AKX70" s="2"/>
      <c r="AKY70" s="2"/>
      <c r="AKZ70" s="2"/>
      <c r="ALA70" s="2"/>
      <c r="ALB70" s="2"/>
      <c r="ALC70" s="2"/>
      <c r="ALD70" s="2"/>
      <c r="ALE70" s="2"/>
      <c r="ALF70" s="2"/>
      <c r="ALG70" s="2"/>
      <c r="ALH70" s="2"/>
      <c r="ALI70" s="2"/>
      <c r="ALJ70" s="2"/>
      <c r="ALK70" s="2"/>
      <c r="ALL70" s="2"/>
      <c r="ALM70" s="2"/>
      <c r="ALN70" s="2"/>
      <c r="ALO70" s="2"/>
      <c r="ALP70" s="2"/>
      <c r="ALQ70" s="2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spans="1:1024">
      <c r="A71" s="5" t="s">
        <v>13</v>
      </c>
      <c r="B71" s="8">
        <v>240000</v>
      </c>
      <c r="C71" s="9"/>
      <c r="D71" s="9"/>
      <c r="E71" s="9"/>
      <c r="F71" s="9"/>
      <c r="G71" s="9"/>
      <c r="H71" s="9"/>
      <c r="I71" s="9">
        <f>B71</f>
        <v>240000</v>
      </c>
      <c r="J71" s="9"/>
      <c r="K71" s="9"/>
      <c r="L71" s="9"/>
      <c r="M71" s="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  <c r="ACG71" s="2"/>
      <c r="ACH71" s="2"/>
      <c r="ACI71" s="2"/>
      <c r="ACJ71" s="2"/>
      <c r="ACK71" s="2"/>
      <c r="ACL71" s="2"/>
      <c r="ACM71" s="2"/>
      <c r="ACN71" s="2"/>
      <c r="ACO71" s="2"/>
      <c r="ACP71" s="2"/>
      <c r="ACQ71" s="2"/>
      <c r="ACR71" s="2"/>
      <c r="ACS71" s="2"/>
      <c r="ACT71" s="2"/>
      <c r="ACU71" s="2"/>
      <c r="ACV71" s="2"/>
      <c r="ACW71" s="2"/>
      <c r="ACX71" s="2"/>
      <c r="ACY71" s="2"/>
      <c r="ACZ71" s="2"/>
      <c r="ADA71" s="2"/>
      <c r="ADB71" s="2"/>
      <c r="ADC71" s="2"/>
      <c r="ADD71" s="2"/>
      <c r="ADE71" s="2"/>
      <c r="ADF71" s="2"/>
      <c r="ADG71" s="2"/>
      <c r="ADH71" s="2"/>
      <c r="ADI71" s="2"/>
      <c r="ADJ71" s="2"/>
      <c r="ADK71" s="2"/>
      <c r="ADL71" s="2"/>
      <c r="ADM71" s="2"/>
      <c r="ADN71" s="2"/>
      <c r="ADO71" s="2"/>
      <c r="ADP71" s="2"/>
      <c r="ADQ71" s="2"/>
      <c r="ADR71" s="2"/>
      <c r="ADS71" s="2"/>
      <c r="ADT71" s="2"/>
      <c r="ADU71" s="2"/>
      <c r="ADV71" s="2"/>
      <c r="ADW71" s="2"/>
      <c r="ADX71" s="2"/>
      <c r="ADY71" s="2"/>
      <c r="ADZ71" s="2"/>
      <c r="AEA71" s="2"/>
      <c r="AEB71" s="2"/>
      <c r="AEC71" s="2"/>
      <c r="AED71" s="2"/>
      <c r="AEE71" s="2"/>
      <c r="AEF71" s="2"/>
      <c r="AEG71" s="2"/>
      <c r="AEH71" s="2"/>
      <c r="AEI71" s="2"/>
      <c r="AEJ71" s="2"/>
      <c r="AEK71" s="2"/>
      <c r="AEL71" s="2"/>
      <c r="AEM71" s="2"/>
      <c r="AEN71" s="2"/>
      <c r="AEO71" s="2"/>
      <c r="AEP71" s="2"/>
      <c r="AEQ71" s="2"/>
      <c r="AER71" s="2"/>
      <c r="AES71" s="2"/>
      <c r="AET71" s="2"/>
      <c r="AEU71" s="2"/>
      <c r="AEV71" s="2"/>
      <c r="AEW71" s="2"/>
      <c r="AEX71" s="2"/>
      <c r="AEY71" s="2"/>
      <c r="AEZ71" s="2"/>
      <c r="AFA71" s="2"/>
      <c r="AFB71" s="2"/>
      <c r="AFC71" s="2"/>
      <c r="AFD71" s="2"/>
      <c r="AFE71" s="2"/>
      <c r="AFF71" s="2"/>
      <c r="AFG71" s="2"/>
      <c r="AFH71" s="2"/>
      <c r="AFI71" s="2"/>
      <c r="AFJ71" s="2"/>
      <c r="AFK71" s="2"/>
      <c r="AFL71" s="2"/>
      <c r="AFM71" s="2"/>
      <c r="AFN71" s="2"/>
      <c r="AFO71" s="2"/>
      <c r="AFP71" s="2"/>
      <c r="AFQ71" s="2"/>
      <c r="AFR71" s="2"/>
      <c r="AFS71" s="2"/>
      <c r="AFT71" s="2"/>
      <c r="AFU71" s="2"/>
      <c r="AFV71" s="2"/>
      <c r="AFW71" s="2"/>
      <c r="AFX71" s="2"/>
      <c r="AFY71" s="2"/>
      <c r="AFZ71" s="2"/>
      <c r="AGA71" s="2"/>
      <c r="AGB71" s="2"/>
      <c r="AGC71" s="2"/>
      <c r="AGD71" s="2"/>
      <c r="AGE71" s="2"/>
      <c r="AGF71" s="2"/>
      <c r="AGG71" s="2"/>
      <c r="AGH71" s="2"/>
      <c r="AGI71" s="2"/>
      <c r="AGJ71" s="2"/>
      <c r="AGK71" s="2"/>
      <c r="AGL71" s="2"/>
      <c r="AGM71" s="2"/>
      <c r="AGN71" s="2"/>
      <c r="AGO71" s="2"/>
      <c r="AGP71" s="2"/>
      <c r="AGQ71" s="2"/>
      <c r="AGR71" s="2"/>
      <c r="AGS71" s="2"/>
      <c r="AGT71" s="2"/>
      <c r="AGU71" s="2"/>
      <c r="AGV71" s="2"/>
      <c r="AGW71" s="2"/>
      <c r="AGX71" s="2"/>
      <c r="AGY71" s="2"/>
      <c r="AGZ71" s="2"/>
      <c r="AHA71" s="2"/>
      <c r="AHB71" s="2"/>
      <c r="AHC71" s="2"/>
      <c r="AHD71" s="2"/>
      <c r="AHE71" s="2"/>
      <c r="AHF71" s="2"/>
      <c r="AHG71" s="2"/>
      <c r="AHH71" s="2"/>
      <c r="AHI71" s="2"/>
      <c r="AHJ71" s="2"/>
      <c r="AHK71" s="2"/>
      <c r="AHL71" s="2"/>
      <c r="AHM71" s="2"/>
      <c r="AHN71" s="2"/>
      <c r="AHO71" s="2"/>
      <c r="AHP71" s="2"/>
      <c r="AHQ71" s="2"/>
      <c r="AHR71" s="2"/>
      <c r="AHS71" s="2"/>
      <c r="AHT71" s="2"/>
      <c r="AHU71" s="2"/>
      <c r="AHV71" s="2"/>
      <c r="AHW71" s="2"/>
      <c r="AHX71" s="2"/>
      <c r="AHY71" s="2"/>
      <c r="AHZ71" s="2"/>
      <c r="AIA71" s="2"/>
      <c r="AIB71" s="2"/>
      <c r="AIC71" s="2"/>
      <c r="AID71" s="2"/>
      <c r="AIE71" s="2"/>
      <c r="AIF71" s="2"/>
      <c r="AIG71" s="2"/>
      <c r="AIH71" s="2"/>
      <c r="AII71" s="2"/>
      <c r="AIJ71" s="2"/>
      <c r="AIK71" s="2"/>
      <c r="AIL71" s="2"/>
      <c r="AIM71" s="2"/>
      <c r="AIN71" s="2"/>
      <c r="AIO71" s="2"/>
      <c r="AIP71" s="2"/>
      <c r="AIQ71" s="2"/>
      <c r="AIR71" s="2"/>
      <c r="AIS71" s="2"/>
      <c r="AIT71" s="2"/>
      <c r="AIU71" s="2"/>
      <c r="AIV71" s="2"/>
      <c r="AIW71" s="2"/>
      <c r="AIX71" s="2"/>
      <c r="AIY71" s="2"/>
      <c r="AIZ71" s="2"/>
      <c r="AJA71" s="2"/>
      <c r="AJB71" s="2"/>
      <c r="AJC71" s="2"/>
      <c r="AJD71" s="2"/>
      <c r="AJE71" s="2"/>
      <c r="AJF71" s="2"/>
      <c r="AJG71" s="2"/>
      <c r="AJH71" s="2"/>
      <c r="AJI71" s="2"/>
      <c r="AJJ71" s="2"/>
      <c r="AJK71" s="2"/>
      <c r="AJL71" s="2"/>
      <c r="AJM71" s="2"/>
      <c r="AJN71" s="2"/>
      <c r="AJO71" s="2"/>
      <c r="AJP71" s="2"/>
      <c r="AJQ71" s="2"/>
      <c r="AJR71" s="2"/>
      <c r="AJS71" s="2"/>
      <c r="AJT71" s="2"/>
      <c r="AJU71" s="2"/>
      <c r="AJV71" s="2"/>
      <c r="AJW71" s="2"/>
      <c r="AJX71" s="2"/>
      <c r="AJY71" s="2"/>
      <c r="AJZ71" s="2"/>
      <c r="AKA71" s="2"/>
      <c r="AKB71" s="2"/>
      <c r="AKC71" s="2"/>
      <c r="AKD71" s="2"/>
      <c r="AKE71" s="2"/>
      <c r="AKF71" s="2"/>
      <c r="AKG71" s="2"/>
      <c r="AKH71" s="2"/>
      <c r="AKI71" s="2"/>
      <c r="AKJ71" s="2"/>
      <c r="AKK71" s="2"/>
      <c r="AKL71" s="2"/>
      <c r="AKM71" s="2"/>
      <c r="AKN71" s="2"/>
      <c r="AKO71" s="2"/>
      <c r="AKP71" s="2"/>
      <c r="AKQ71" s="2"/>
      <c r="AKR71" s="2"/>
      <c r="AKS71" s="2"/>
      <c r="AKT71" s="2"/>
      <c r="AKU71" s="2"/>
      <c r="AKV71" s="2"/>
      <c r="AKW71" s="2"/>
      <c r="AKX71" s="2"/>
      <c r="AKY71" s="2"/>
      <c r="AKZ71" s="2"/>
      <c r="ALA71" s="2"/>
      <c r="ALB71" s="2"/>
      <c r="ALC71" s="2"/>
      <c r="ALD71" s="2"/>
      <c r="ALE71" s="2"/>
      <c r="ALF71" s="2"/>
      <c r="ALG71" s="2"/>
      <c r="ALH71" s="2"/>
      <c r="ALI71" s="2"/>
      <c r="ALJ71" s="2"/>
      <c r="ALK71" s="2"/>
      <c r="ALL71" s="2"/>
      <c r="ALM71" s="2"/>
      <c r="ALN71" s="2"/>
      <c r="ALO71" s="2"/>
      <c r="ALP71" s="2"/>
      <c r="ALQ71" s="2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spans="1:1024">
      <c r="A72" s="5" t="s">
        <v>14</v>
      </c>
      <c r="B72" s="8">
        <v>20000</v>
      </c>
      <c r="C72" s="9"/>
      <c r="D72" s="9">
        <f>-B72</f>
        <v>-20000</v>
      </c>
      <c r="E72" s="9"/>
      <c r="F72" s="9"/>
      <c r="G72" s="9"/>
      <c r="H72" s="9"/>
      <c r="I72" s="9"/>
      <c r="J72" s="9"/>
      <c r="K72" s="9"/>
      <c r="L72" s="9"/>
      <c r="M72" s="9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  <c r="ACG72" s="2"/>
      <c r="ACH72" s="2"/>
      <c r="ACI72" s="2"/>
      <c r="ACJ72" s="2"/>
      <c r="ACK72" s="2"/>
      <c r="ACL72" s="2"/>
      <c r="ACM72" s="2"/>
      <c r="ACN72" s="2"/>
      <c r="ACO72" s="2"/>
      <c r="ACP72" s="2"/>
      <c r="ACQ72" s="2"/>
      <c r="ACR72" s="2"/>
      <c r="ACS72" s="2"/>
      <c r="ACT72" s="2"/>
      <c r="ACU72" s="2"/>
      <c r="ACV72" s="2"/>
      <c r="ACW72" s="2"/>
      <c r="ACX72" s="2"/>
      <c r="ACY72" s="2"/>
      <c r="ACZ72" s="2"/>
      <c r="ADA72" s="2"/>
      <c r="ADB72" s="2"/>
      <c r="ADC72" s="2"/>
      <c r="ADD72" s="2"/>
      <c r="ADE72" s="2"/>
      <c r="ADF72" s="2"/>
      <c r="ADG72" s="2"/>
      <c r="ADH72" s="2"/>
      <c r="ADI72" s="2"/>
      <c r="ADJ72" s="2"/>
      <c r="ADK72" s="2"/>
      <c r="ADL72" s="2"/>
      <c r="ADM72" s="2"/>
      <c r="ADN72" s="2"/>
      <c r="ADO72" s="2"/>
      <c r="ADP72" s="2"/>
      <c r="ADQ72" s="2"/>
      <c r="ADR72" s="2"/>
      <c r="ADS72" s="2"/>
      <c r="ADT72" s="2"/>
      <c r="ADU72" s="2"/>
      <c r="ADV72" s="2"/>
      <c r="ADW72" s="2"/>
      <c r="ADX72" s="2"/>
      <c r="ADY72" s="2"/>
      <c r="ADZ72" s="2"/>
      <c r="AEA72" s="2"/>
      <c r="AEB72" s="2"/>
      <c r="AEC72" s="2"/>
      <c r="AED72" s="2"/>
      <c r="AEE72" s="2"/>
      <c r="AEF72" s="2"/>
      <c r="AEG72" s="2"/>
      <c r="AEH72" s="2"/>
      <c r="AEI72" s="2"/>
      <c r="AEJ72" s="2"/>
      <c r="AEK72" s="2"/>
      <c r="AEL72" s="2"/>
      <c r="AEM72" s="2"/>
      <c r="AEN72" s="2"/>
      <c r="AEO72" s="2"/>
      <c r="AEP72" s="2"/>
      <c r="AEQ72" s="2"/>
      <c r="AER72" s="2"/>
      <c r="AES72" s="2"/>
      <c r="AET72" s="2"/>
      <c r="AEU72" s="2"/>
      <c r="AEV72" s="2"/>
      <c r="AEW72" s="2"/>
      <c r="AEX72" s="2"/>
      <c r="AEY72" s="2"/>
      <c r="AEZ72" s="2"/>
      <c r="AFA72" s="2"/>
      <c r="AFB72" s="2"/>
      <c r="AFC72" s="2"/>
      <c r="AFD72" s="2"/>
      <c r="AFE72" s="2"/>
      <c r="AFF72" s="2"/>
      <c r="AFG72" s="2"/>
      <c r="AFH72" s="2"/>
      <c r="AFI72" s="2"/>
      <c r="AFJ72" s="2"/>
      <c r="AFK72" s="2"/>
      <c r="AFL72" s="2"/>
      <c r="AFM72" s="2"/>
      <c r="AFN72" s="2"/>
      <c r="AFO72" s="2"/>
      <c r="AFP72" s="2"/>
      <c r="AFQ72" s="2"/>
      <c r="AFR72" s="2"/>
      <c r="AFS72" s="2"/>
      <c r="AFT72" s="2"/>
      <c r="AFU72" s="2"/>
      <c r="AFV72" s="2"/>
      <c r="AFW72" s="2"/>
      <c r="AFX72" s="2"/>
      <c r="AFY72" s="2"/>
      <c r="AFZ72" s="2"/>
      <c r="AGA72" s="2"/>
      <c r="AGB72" s="2"/>
      <c r="AGC72" s="2"/>
      <c r="AGD72" s="2"/>
      <c r="AGE72" s="2"/>
      <c r="AGF72" s="2"/>
      <c r="AGG72" s="2"/>
      <c r="AGH72" s="2"/>
      <c r="AGI72" s="2"/>
      <c r="AGJ72" s="2"/>
      <c r="AGK72" s="2"/>
      <c r="AGL72" s="2"/>
      <c r="AGM72" s="2"/>
      <c r="AGN72" s="2"/>
      <c r="AGO72" s="2"/>
      <c r="AGP72" s="2"/>
      <c r="AGQ72" s="2"/>
      <c r="AGR72" s="2"/>
      <c r="AGS72" s="2"/>
      <c r="AGT72" s="2"/>
      <c r="AGU72" s="2"/>
      <c r="AGV72" s="2"/>
      <c r="AGW72" s="2"/>
      <c r="AGX72" s="2"/>
      <c r="AGY72" s="2"/>
      <c r="AGZ72" s="2"/>
      <c r="AHA72" s="2"/>
      <c r="AHB72" s="2"/>
      <c r="AHC72" s="2"/>
      <c r="AHD72" s="2"/>
      <c r="AHE72" s="2"/>
      <c r="AHF72" s="2"/>
      <c r="AHG72" s="2"/>
      <c r="AHH72" s="2"/>
      <c r="AHI72" s="2"/>
      <c r="AHJ72" s="2"/>
      <c r="AHK72" s="2"/>
      <c r="AHL72" s="2"/>
      <c r="AHM72" s="2"/>
      <c r="AHN72" s="2"/>
      <c r="AHO72" s="2"/>
      <c r="AHP72" s="2"/>
      <c r="AHQ72" s="2"/>
      <c r="AHR72" s="2"/>
      <c r="AHS72" s="2"/>
      <c r="AHT72" s="2"/>
      <c r="AHU72" s="2"/>
      <c r="AHV72" s="2"/>
      <c r="AHW72" s="2"/>
      <c r="AHX72" s="2"/>
      <c r="AHY72" s="2"/>
      <c r="AHZ72" s="2"/>
      <c r="AIA72" s="2"/>
      <c r="AIB72" s="2"/>
      <c r="AIC72" s="2"/>
      <c r="AID72" s="2"/>
      <c r="AIE72" s="2"/>
      <c r="AIF72" s="2"/>
      <c r="AIG72" s="2"/>
      <c r="AIH72" s="2"/>
      <c r="AII72" s="2"/>
      <c r="AIJ72" s="2"/>
      <c r="AIK72" s="2"/>
      <c r="AIL72" s="2"/>
      <c r="AIM72" s="2"/>
      <c r="AIN72" s="2"/>
      <c r="AIO72" s="2"/>
      <c r="AIP72" s="2"/>
      <c r="AIQ72" s="2"/>
      <c r="AIR72" s="2"/>
      <c r="AIS72" s="2"/>
      <c r="AIT72" s="2"/>
      <c r="AIU72" s="2"/>
      <c r="AIV72" s="2"/>
      <c r="AIW72" s="2"/>
      <c r="AIX72" s="2"/>
      <c r="AIY72" s="2"/>
      <c r="AIZ72" s="2"/>
      <c r="AJA72" s="2"/>
      <c r="AJB72" s="2"/>
      <c r="AJC72" s="2"/>
      <c r="AJD72" s="2"/>
      <c r="AJE72" s="2"/>
      <c r="AJF72" s="2"/>
      <c r="AJG72" s="2"/>
      <c r="AJH72" s="2"/>
      <c r="AJI72" s="2"/>
      <c r="AJJ72" s="2"/>
      <c r="AJK72" s="2"/>
      <c r="AJL72" s="2"/>
      <c r="AJM72" s="2"/>
      <c r="AJN72" s="2"/>
      <c r="AJO72" s="2"/>
      <c r="AJP72" s="2"/>
      <c r="AJQ72" s="2"/>
      <c r="AJR72" s="2"/>
      <c r="AJS72" s="2"/>
      <c r="AJT72" s="2"/>
      <c r="AJU72" s="2"/>
      <c r="AJV72" s="2"/>
      <c r="AJW72" s="2"/>
      <c r="AJX72" s="2"/>
      <c r="AJY72" s="2"/>
      <c r="AJZ72" s="2"/>
      <c r="AKA72" s="2"/>
      <c r="AKB72" s="2"/>
      <c r="AKC72" s="2"/>
      <c r="AKD72" s="2"/>
      <c r="AKE72" s="2"/>
      <c r="AKF72" s="2"/>
      <c r="AKG72" s="2"/>
      <c r="AKH72" s="2"/>
      <c r="AKI72" s="2"/>
      <c r="AKJ72" s="2"/>
      <c r="AKK72" s="2"/>
      <c r="AKL72" s="2"/>
      <c r="AKM72" s="2"/>
      <c r="AKN72" s="2"/>
      <c r="AKO72" s="2"/>
      <c r="AKP72" s="2"/>
      <c r="AKQ72" s="2"/>
      <c r="AKR72" s="2"/>
      <c r="AKS72" s="2"/>
      <c r="AKT72" s="2"/>
      <c r="AKU72" s="2"/>
      <c r="AKV72" s="2"/>
      <c r="AKW72" s="2"/>
      <c r="AKX72" s="2"/>
      <c r="AKY72" s="2"/>
      <c r="AKZ72" s="2"/>
      <c r="ALA72" s="2"/>
      <c r="ALB72" s="2"/>
      <c r="ALC72" s="2"/>
      <c r="ALD72" s="2"/>
      <c r="ALE72" s="2"/>
      <c r="ALF72" s="2"/>
      <c r="ALG72" s="2"/>
      <c r="ALH72" s="2"/>
      <c r="ALI72" s="2"/>
      <c r="ALJ72" s="2"/>
      <c r="ALK72" s="2"/>
      <c r="ALL72" s="2"/>
      <c r="ALM72" s="2"/>
      <c r="ALN72" s="2"/>
      <c r="ALO72" s="2"/>
      <c r="ALP72" s="2"/>
      <c r="ALQ72" s="2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spans="1:1024">
      <c r="A73" s="5" t="s">
        <v>15</v>
      </c>
      <c r="B73" s="8">
        <v>60000</v>
      </c>
      <c r="C73" s="9"/>
      <c r="D73" s="9"/>
      <c r="E73" s="9"/>
      <c r="F73" s="9"/>
      <c r="G73" s="9"/>
      <c r="H73" s="9"/>
      <c r="I73" s="9"/>
      <c r="J73" s="9"/>
      <c r="K73" s="9">
        <f>B73</f>
        <v>60000</v>
      </c>
      <c r="L73" s="9"/>
      <c r="M73" s="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  <c r="ACG73" s="2"/>
      <c r="ACH73" s="2"/>
      <c r="ACI73" s="2"/>
      <c r="ACJ73" s="2"/>
      <c r="ACK73" s="2"/>
      <c r="ACL73" s="2"/>
      <c r="ACM73" s="2"/>
      <c r="ACN73" s="2"/>
      <c r="ACO73" s="2"/>
      <c r="ACP73" s="2"/>
      <c r="ACQ73" s="2"/>
      <c r="ACR73" s="2"/>
      <c r="ACS73" s="2"/>
      <c r="ACT73" s="2"/>
      <c r="ACU73" s="2"/>
      <c r="ACV73" s="2"/>
      <c r="ACW73" s="2"/>
      <c r="ACX73" s="2"/>
      <c r="ACY73" s="2"/>
      <c r="ACZ73" s="2"/>
      <c r="ADA73" s="2"/>
      <c r="ADB73" s="2"/>
      <c r="ADC73" s="2"/>
      <c r="ADD73" s="2"/>
      <c r="ADE73" s="2"/>
      <c r="ADF73" s="2"/>
      <c r="ADG73" s="2"/>
      <c r="ADH73" s="2"/>
      <c r="ADI73" s="2"/>
      <c r="ADJ73" s="2"/>
      <c r="ADK73" s="2"/>
      <c r="ADL73" s="2"/>
      <c r="ADM73" s="2"/>
      <c r="ADN73" s="2"/>
      <c r="ADO73" s="2"/>
      <c r="ADP73" s="2"/>
      <c r="ADQ73" s="2"/>
      <c r="ADR73" s="2"/>
      <c r="ADS73" s="2"/>
      <c r="ADT73" s="2"/>
      <c r="ADU73" s="2"/>
      <c r="ADV73" s="2"/>
      <c r="ADW73" s="2"/>
      <c r="ADX73" s="2"/>
      <c r="ADY73" s="2"/>
      <c r="ADZ73" s="2"/>
      <c r="AEA73" s="2"/>
      <c r="AEB73" s="2"/>
      <c r="AEC73" s="2"/>
      <c r="AED73" s="2"/>
      <c r="AEE73" s="2"/>
      <c r="AEF73" s="2"/>
      <c r="AEG73" s="2"/>
      <c r="AEH73" s="2"/>
      <c r="AEI73" s="2"/>
      <c r="AEJ73" s="2"/>
      <c r="AEK73" s="2"/>
      <c r="AEL73" s="2"/>
      <c r="AEM73" s="2"/>
      <c r="AEN73" s="2"/>
      <c r="AEO73" s="2"/>
      <c r="AEP73" s="2"/>
      <c r="AEQ73" s="2"/>
      <c r="AER73" s="2"/>
      <c r="AES73" s="2"/>
      <c r="AET73" s="2"/>
      <c r="AEU73" s="2"/>
      <c r="AEV73" s="2"/>
      <c r="AEW73" s="2"/>
      <c r="AEX73" s="2"/>
      <c r="AEY73" s="2"/>
      <c r="AEZ73" s="2"/>
      <c r="AFA73" s="2"/>
      <c r="AFB73" s="2"/>
      <c r="AFC73" s="2"/>
      <c r="AFD73" s="2"/>
      <c r="AFE73" s="2"/>
      <c r="AFF73" s="2"/>
      <c r="AFG73" s="2"/>
      <c r="AFH73" s="2"/>
      <c r="AFI73" s="2"/>
      <c r="AFJ73" s="2"/>
      <c r="AFK73" s="2"/>
      <c r="AFL73" s="2"/>
      <c r="AFM73" s="2"/>
      <c r="AFN73" s="2"/>
      <c r="AFO73" s="2"/>
      <c r="AFP73" s="2"/>
      <c r="AFQ73" s="2"/>
      <c r="AFR73" s="2"/>
      <c r="AFS73" s="2"/>
      <c r="AFT73" s="2"/>
      <c r="AFU73" s="2"/>
      <c r="AFV73" s="2"/>
      <c r="AFW73" s="2"/>
      <c r="AFX73" s="2"/>
      <c r="AFY73" s="2"/>
      <c r="AFZ73" s="2"/>
      <c r="AGA73" s="2"/>
      <c r="AGB73" s="2"/>
      <c r="AGC73" s="2"/>
      <c r="AGD73" s="2"/>
      <c r="AGE73" s="2"/>
      <c r="AGF73" s="2"/>
      <c r="AGG73" s="2"/>
      <c r="AGH73" s="2"/>
      <c r="AGI73" s="2"/>
      <c r="AGJ73" s="2"/>
      <c r="AGK73" s="2"/>
      <c r="AGL73" s="2"/>
      <c r="AGM73" s="2"/>
      <c r="AGN73" s="2"/>
      <c r="AGO73" s="2"/>
      <c r="AGP73" s="2"/>
      <c r="AGQ73" s="2"/>
      <c r="AGR73" s="2"/>
      <c r="AGS73" s="2"/>
      <c r="AGT73" s="2"/>
      <c r="AGU73" s="2"/>
      <c r="AGV73" s="2"/>
      <c r="AGW73" s="2"/>
      <c r="AGX73" s="2"/>
      <c r="AGY73" s="2"/>
      <c r="AGZ73" s="2"/>
      <c r="AHA73" s="2"/>
      <c r="AHB73" s="2"/>
      <c r="AHC73" s="2"/>
      <c r="AHD73" s="2"/>
      <c r="AHE73" s="2"/>
      <c r="AHF73" s="2"/>
      <c r="AHG73" s="2"/>
      <c r="AHH73" s="2"/>
      <c r="AHI73" s="2"/>
      <c r="AHJ73" s="2"/>
      <c r="AHK73" s="2"/>
      <c r="AHL73" s="2"/>
      <c r="AHM73" s="2"/>
      <c r="AHN73" s="2"/>
      <c r="AHO73" s="2"/>
      <c r="AHP73" s="2"/>
      <c r="AHQ73" s="2"/>
      <c r="AHR73" s="2"/>
      <c r="AHS73" s="2"/>
      <c r="AHT73" s="2"/>
      <c r="AHU73" s="2"/>
      <c r="AHV73" s="2"/>
      <c r="AHW73" s="2"/>
      <c r="AHX73" s="2"/>
      <c r="AHY73" s="2"/>
      <c r="AHZ73" s="2"/>
      <c r="AIA73" s="2"/>
      <c r="AIB73" s="2"/>
      <c r="AIC73" s="2"/>
      <c r="AID73" s="2"/>
      <c r="AIE73" s="2"/>
      <c r="AIF73" s="2"/>
      <c r="AIG73" s="2"/>
      <c r="AIH73" s="2"/>
      <c r="AII73" s="2"/>
      <c r="AIJ73" s="2"/>
      <c r="AIK73" s="2"/>
      <c r="AIL73" s="2"/>
      <c r="AIM73" s="2"/>
      <c r="AIN73" s="2"/>
      <c r="AIO73" s="2"/>
      <c r="AIP73" s="2"/>
      <c r="AIQ73" s="2"/>
      <c r="AIR73" s="2"/>
      <c r="AIS73" s="2"/>
      <c r="AIT73" s="2"/>
      <c r="AIU73" s="2"/>
      <c r="AIV73" s="2"/>
      <c r="AIW73" s="2"/>
      <c r="AIX73" s="2"/>
      <c r="AIY73" s="2"/>
      <c r="AIZ73" s="2"/>
      <c r="AJA73" s="2"/>
      <c r="AJB73" s="2"/>
      <c r="AJC73" s="2"/>
      <c r="AJD73" s="2"/>
      <c r="AJE73" s="2"/>
      <c r="AJF73" s="2"/>
      <c r="AJG73" s="2"/>
      <c r="AJH73" s="2"/>
      <c r="AJI73" s="2"/>
      <c r="AJJ73" s="2"/>
      <c r="AJK73" s="2"/>
      <c r="AJL73" s="2"/>
      <c r="AJM73" s="2"/>
      <c r="AJN73" s="2"/>
      <c r="AJO73" s="2"/>
      <c r="AJP73" s="2"/>
      <c r="AJQ73" s="2"/>
      <c r="AJR73" s="2"/>
      <c r="AJS73" s="2"/>
      <c r="AJT73" s="2"/>
      <c r="AJU73" s="2"/>
      <c r="AJV73" s="2"/>
      <c r="AJW73" s="2"/>
      <c r="AJX73" s="2"/>
      <c r="AJY73" s="2"/>
      <c r="AJZ73" s="2"/>
      <c r="AKA73" s="2"/>
      <c r="AKB73" s="2"/>
      <c r="AKC73" s="2"/>
      <c r="AKD73" s="2"/>
      <c r="AKE73" s="2"/>
      <c r="AKF73" s="2"/>
      <c r="AKG73" s="2"/>
      <c r="AKH73" s="2"/>
      <c r="AKI73" s="2"/>
      <c r="AKJ73" s="2"/>
      <c r="AKK73" s="2"/>
      <c r="AKL73" s="2"/>
      <c r="AKM73" s="2"/>
      <c r="AKN73" s="2"/>
      <c r="AKO73" s="2"/>
      <c r="AKP73" s="2"/>
      <c r="AKQ73" s="2"/>
      <c r="AKR73" s="2"/>
      <c r="AKS73" s="2"/>
      <c r="AKT73" s="2"/>
      <c r="AKU73" s="2"/>
      <c r="AKV73" s="2"/>
      <c r="AKW73" s="2"/>
      <c r="AKX73" s="2"/>
      <c r="AKY73" s="2"/>
      <c r="AKZ73" s="2"/>
      <c r="ALA73" s="2"/>
      <c r="ALB73" s="2"/>
      <c r="ALC73" s="2"/>
      <c r="ALD73" s="2"/>
      <c r="ALE73" s="2"/>
      <c r="ALF73" s="2"/>
      <c r="ALG73" s="2"/>
      <c r="ALH73" s="2"/>
      <c r="ALI73" s="2"/>
      <c r="ALJ73" s="2"/>
      <c r="ALK73" s="2"/>
      <c r="ALL73" s="2"/>
      <c r="ALM73" s="2"/>
      <c r="ALN73" s="2"/>
      <c r="ALO73" s="2"/>
      <c r="ALP73" s="2"/>
      <c r="ALQ73" s="2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spans="1:1024">
      <c r="A74" s="5" t="s">
        <v>16</v>
      </c>
      <c r="B74" s="8">
        <v>92000</v>
      </c>
      <c r="C74" s="9"/>
      <c r="D74" s="9">
        <f>B74</f>
        <v>92000</v>
      </c>
      <c r="E74" s="9"/>
      <c r="F74" s="9"/>
      <c r="G74" s="9"/>
      <c r="H74" s="9"/>
      <c r="I74" s="9"/>
      <c r="J74" s="9"/>
      <c r="K74" s="9"/>
      <c r="L74" s="9"/>
      <c r="M74" s="9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  <c r="ACG74" s="2"/>
      <c r="ACH74" s="2"/>
      <c r="ACI74" s="2"/>
      <c r="ACJ74" s="2"/>
      <c r="ACK74" s="2"/>
      <c r="ACL74" s="2"/>
      <c r="ACM74" s="2"/>
      <c r="ACN74" s="2"/>
      <c r="ACO74" s="2"/>
      <c r="ACP74" s="2"/>
      <c r="ACQ74" s="2"/>
      <c r="ACR74" s="2"/>
      <c r="ACS74" s="2"/>
      <c r="ACT74" s="2"/>
      <c r="ACU74" s="2"/>
      <c r="ACV74" s="2"/>
      <c r="ACW74" s="2"/>
      <c r="ACX74" s="2"/>
      <c r="ACY74" s="2"/>
      <c r="ACZ74" s="2"/>
      <c r="ADA74" s="2"/>
      <c r="ADB74" s="2"/>
      <c r="ADC74" s="2"/>
      <c r="ADD74" s="2"/>
      <c r="ADE74" s="2"/>
      <c r="ADF74" s="2"/>
      <c r="ADG74" s="2"/>
      <c r="ADH74" s="2"/>
      <c r="ADI74" s="2"/>
      <c r="ADJ74" s="2"/>
      <c r="ADK74" s="2"/>
      <c r="ADL74" s="2"/>
      <c r="ADM74" s="2"/>
      <c r="ADN74" s="2"/>
      <c r="ADO74" s="2"/>
      <c r="ADP74" s="2"/>
      <c r="ADQ74" s="2"/>
      <c r="ADR74" s="2"/>
      <c r="ADS74" s="2"/>
      <c r="ADT74" s="2"/>
      <c r="ADU74" s="2"/>
      <c r="ADV74" s="2"/>
      <c r="ADW74" s="2"/>
      <c r="ADX74" s="2"/>
      <c r="ADY74" s="2"/>
      <c r="ADZ74" s="2"/>
      <c r="AEA74" s="2"/>
      <c r="AEB74" s="2"/>
      <c r="AEC74" s="2"/>
      <c r="AED74" s="2"/>
      <c r="AEE74" s="2"/>
      <c r="AEF74" s="2"/>
      <c r="AEG74" s="2"/>
      <c r="AEH74" s="2"/>
      <c r="AEI74" s="2"/>
      <c r="AEJ74" s="2"/>
      <c r="AEK74" s="2"/>
      <c r="AEL74" s="2"/>
      <c r="AEM74" s="2"/>
      <c r="AEN74" s="2"/>
      <c r="AEO74" s="2"/>
      <c r="AEP74" s="2"/>
      <c r="AEQ74" s="2"/>
      <c r="AER74" s="2"/>
      <c r="AES74" s="2"/>
      <c r="AET74" s="2"/>
      <c r="AEU74" s="2"/>
      <c r="AEV74" s="2"/>
      <c r="AEW74" s="2"/>
      <c r="AEX74" s="2"/>
      <c r="AEY74" s="2"/>
      <c r="AEZ74" s="2"/>
      <c r="AFA74" s="2"/>
      <c r="AFB74" s="2"/>
      <c r="AFC74" s="2"/>
      <c r="AFD74" s="2"/>
      <c r="AFE74" s="2"/>
      <c r="AFF74" s="2"/>
      <c r="AFG74" s="2"/>
      <c r="AFH74" s="2"/>
      <c r="AFI74" s="2"/>
      <c r="AFJ74" s="2"/>
      <c r="AFK74" s="2"/>
      <c r="AFL74" s="2"/>
      <c r="AFM74" s="2"/>
      <c r="AFN74" s="2"/>
      <c r="AFO74" s="2"/>
      <c r="AFP74" s="2"/>
      <c r="AFQ74" s="2"/>
      <c r="AFR74" s="2"/>
      <c r="AFS74" s="2"/>
      <c r="AFT74" s="2"/>
      <c r="AFU74" s="2"/>
      <c r="AFV74" s="2"/>
      <c r="AFW74" s="2"/>
      <c r="AFX74" s="2"/>
      <c r="AFY74" s="2"/>
      <c r="AFZ74" s="2"/>
      <c r="AGA74" s="2"/>
      <c r="AGB74" s="2"/>
      <c r="AGC74" s="2"/>
      <c r="AGD74" s="2"/>
      <c r="AGE74" s="2"/>
      <c r="AGF74" s="2"/>
      <c r="AGG74" s="2"/>
      <c r="AGH74" s="2"/>
      <c r="AGI74" s="2"/>
      <c r="AGJ74" s="2"/>
      <c r="AGK74" s="2"/>
      <c r="AGL74" s="2"/>
      <c r="AGM74" s="2"/>
      <c r="AGN74" s="2"/>
      <c r="AGO74" s="2"/>
      <c r="AGP74" s="2"/>
      <c r="AGQ74" s="2"/>
      <c r="AGR74" s="2"/>
      <c r="AGS74" s="2"/>
      <c r="AGT74" s="2"/>
      <c r="AGU74" s="2"/>
      <c r="AGV74" s="2"/>
      <c r="AGW74" s="2"/>
      <c r="AGX74" s="2"/>
      <c r="AGY74" s="2"/>
      <c r="AGZ74" s="2"/>
      <c r="AHA74" s="2"/>
      <c r="AHB74" s="2"/>
      <c r="AHC74" s="2"/>
      <c r="AHD74" s="2"/>
      <c r="AHE74" s="2"/>
      <c r="AHF74" s="2"/>
      <c r="AHG74" s="2"/>
      <c r="AHH74" s="2"/>
      <c r="AHI74" s="2"/>
      <c r="AHJ74" s="2"/>
      <c r="AHK74" s="2"/>
      <c r="AHL74" s="2"/>
      <c r="AHM74" s="2"/>
      <c r="AHN74" s="2"/>
      <c r="AHO74" s="2"/>
      <c r="AHP74" s="2"/>
      <c r="AHQ74" s="2"/>
      <c r="AHR74" s="2"/>
      <c r="AHS74" s="2"/>
      <c r="AHT74" s="2"/>
      <c r="AHU74" s="2"/>
      <c r="AHV74" s="2"/>
      <c r="AHW74" s="2"/>
      <c r="AHX74" s="2"/>
      <c r="AHY74" s="2"/>
      <c r="AHZ74" s="2"/>
      <c r="AIA74" s="2"/>
      <c r="AIB74" s="2"/>
      <c r="AIC74" s="2"/>
      <c r="AID74" s="2"/>
      <c r="AIE74" s="2"/>
      <c r="AIF74" s="2"/>
      <c r="AIG74" s="2"/>
      <c r="AIH74" s="2"/>
      <c r="AII74" s="2"/>
      <c r="AIJ74" s="2"/>
      <c r="AIK74" s="2"/>
      <c r="AIL74" s="2"/>
      <c r="AIM74" s="2"/>
      <c r="AIN74" s="2"/>
      <c r="AIO74" s="2"/>
      <c r="AIP74" s="2"/>
      <c r="AIQ74" s="2"/>
      <c r="AIR74" s="2"/>
      <c r="AIS74" s="2"/>
      <c r="AIT74" s="2"/>
      <c r="AIU74" s="2"/>
      <c r="AIV74" s="2"/>
      <c r="AIW74" s="2"/>
      <c r="AIX74" s="2"/>
      <c r="AIY74" s="2"/>
      <c r="AIZ74" s="2"/>
      <c r="AJA74" s="2"/>
      <c r="AJB74" s="2"/>
      <c r="AJC74" s="2"/>
      <c r="AJD74" s="2"/>
      <c r="AJE74" s="2"/>
      <c r="AJF74" s="2"/>
      <c r="AJG74" s="2"/>
      <c r="AJH74" s="2"/>
      <c r="AJI74" s="2"/>
      <c r="AJJ74" s="2"/>
      <c r="AJK74" s="2"/>
      <c r="AJL74" s="2"/>
      <c r="AJM74" s="2"/>
      <c r="AJN74" s="2"/>
      <c r="AJO74" s="2"/>
      <c r="AJP74" s="2"/>
      <c r="AJQ74" s="2"/>
      <c r="AJR74" s="2"/>
      <c r="AJS74" s="2"/>
      <c r="AJT74" s="2"/>
      <c r="AJU74" s="2"/>
      <c r="AJV74" s="2"/>
      <c r="AJW74" s="2"/>
      <c r="AJX74" s="2"/>
      <c r="AJY74" s="2"/>
      <c r="AJZ74" s="2"/>
      <c r="AKA74" s="2"/>
      <c r="AKB74" s="2"/>
      <c r="AKC74" s="2"/>
      <c r="AKD74" s="2"/>
      <c r="AKE74" s="2"/>
      <c r="AKF74" s="2"/>
      <c r="AKG74" s="2"/>
      <c r="AKH74" s="2"/>
      <c r="AKI74" s="2"/>
      <c r="AKJ74" s="2"/>
      <c r="AKK74" s="2"/>
      <c r="AKL74" s="2"/>
      <c r="AKM74" s="2"/>
      <c r="AKN74" s="2"/>
      <c r="AKO74" s="2"/>
      <c r="AKP74" s="2"/>
      <c r="AKQ74" s="2"/>
      <c r="AKR74" s="2"/>
      <c r="AKS74" s="2"/>
      <c r="AKT74" s="2"/>
      <c r="AKU74" s="2"/>
      <c r="AKV74" s="2"/>
      <c r="AKW74" s="2"/>
      <c r="AKX74" s="2"/>
      <c r="AKY74" s="2"/>
      <c r="AKZ74" s="2"/>
      <c r="ALA74" s="2"/>
      <c r="ALB74" s="2"/>
      <c r="ALC74" s="2"/>
      <c r="ALD74" s="2"/>
      <c r="ALE74" s="2"/>
      <c r="ALF74" s="2"/>
      <c r="ALG74" s="2"/>
      <c r="ALH74" s="2"/>
      <c r="ALI74" s="2"/>
      <c r="ALJ74" s="2"/>
      <c r="ALK74" s="2"/>
      <c r="ALL74" s="2"/>
      <c r="ALM74" s="2"/>
      <c r="ALN74" s="2"/>
      <c r="ALO74" s="2"/>
      <c r="ALP74" s="2"/>
      <c r="ALQ74" s="2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spans="1:1024">
      <c r="A75" s="5" t="s">
        <v>17</v>
      </c>
      <c r="B75" s="8">
        <v>880000</v>
      </c>
      <c r="C75" s="9"/>
      <c r="D75" s="9"/>
      <c r="E75" s="9"/>
      <c r="F75" s="9"/>
      <c r="G75" s="9"/>
      <c r="H75" s="9">
        <f>B75</f>
        <v>880000</v>
      </c>
      <c r="I75" s="9"/>
      <c r="J75" s="9"/>
      <c r="K75" s="9"/>
      <c r="L75" s="9"/>
      <c r="M75" s="9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  <c r="ACG75" s="2"/>
      <c r="ACH75" s="2"/>
      <c r="ACI75" s="2"/>
      <c r="ACJ75" s="2"/>
      <c r="ACK75" s="2"/>
      <c r="ACL75" s="2"/>
      <c r="ACM75" s="2"/>
      <c r="ACN75" s="2"/>
      <c r="ACO75" s="2"/>
      <c r="ACP75" s="2"/>
      <c r="ACQ75" s="2"/>
      <c r="ACR75" s="2"/>
      <c r="ACS75" s="2"/>
      <c r="ACT75" s="2"/>
      <c r="ACU75" s="2"/>
      <c r="ACV75" s="2"/>
      <c r="ACW75" s="2"/>
      <c r="ACX75" s="2"/>
      <c r="ACY75" s="2"/>
      <c r="ACZ75" s="2"/>
      <c r="ADA75" s="2"/>
      <c r="ADB75" s="2"/>
      <c r="ADC75" s="2"/>
      <c r="ADD75" s="2"/>
      <c r="ADE75" s="2"/>
      <c r="ADF75" s="2"/>
      <c r="ADG75" s="2"/>
      <c r="ADH75" s="2"/>
      <c r="ADI75" s="2"/>
      <c r="ADJ75" s="2"/>
      <c r="ADK75" s="2"/>
      <c r="ADL75" s="2"/>
      <c r="ADM75" s="2"/>
      <c r="ADN75" s="2"/>
      <c r="ADO75" s="2"/>
      <c r="ADP75" s="2"/>
      <c r="ADQ75" s="2"/>
      <c r="ADR75" s="2"/>
      <c r="ADS75" s="2"/>
      <c r="ADT75" s="2"/>
      <c r="ADU75" s="2"/>
      <c r="ADV75" s="2"/>
      <c r="ADW75" s="2"/>
      <c r="ADX75" s="2"/>
      <c r="ADY75" s="2"/>
      <c r="ADZ75" s="2"/>
      <c r="AEA75" s="2"/>
      <c r="AEB75" s="2"/>
      <c r="AEC75" s="2"/>
      <c r="AED75" s="2"/>
      <c r="AEE75" s="2"/>
      <c r="AEF75" s="2"/>
      <c r="AEG75" s="2"/>
      <c r="AEH75" s="2"/>
      <c r="AEI75" s="2"/>
      <c r="AEJ75" s="2"/>
      <c r="AEK75" s="2"/>
      <c r="AEL75" s="2"/>
      <c r="AEM75" s="2"/>
      <c r="AEN75" s="2"/>
      <c r="AEO75" s="2"/>
      <c r="AEP75" s="2"/>
      <c r="AEQ75" s="2"/>
      <c r="AER75" s="2"/>
      <c r="AES75" s="2"/>
      <c r="AET75" s="2"/>
      <c r="AEU75" s="2"/>
      <c r="AEV75" s="2"/>
      <c r="AEW75" s="2"/>
      <c r="AEX75" s="2"/>
      <c r="AEY75" s="2"/>
      <c r="AEZ75" s="2"/>
      <c r="AFA75" s="2"/>
      <c r="AFB75" s="2"/>
      <c r="AFC75" s="2"/>
      <c r="AFD75" s="2"/>
      <c r="AFE75" s="2"/>
      <c r="AFF75" s="2"/>
      <c r="AFG75" s="2"/>
      <c r="AFH75" s="2"/>
      <c r="AFI75" s="2"/>
      <c r="AFJ75" s="2"/>
      <c r="AFK75" s="2"/>
      <c r="AFL75" s="2"/>
      <c r="AFM75" s="2"/>
      <c r="AFN75" s="2"/>
      <c r="AFO75" s="2"/>
      <c r="AFP75" s="2"/>
      <c r="AFQ75" s="2"/>
      <c r="AFR75" s="2"/>
      <c r="AFS75" s="2"/>
      <c r="AFT75" s="2"/>
      <c r="AFU75" s="2"/>
      <c r="AFV75" s="2"/>
      <c r="AFW75" s="2"/>
      <c r="AFX75" s="2"/>
      <c r="AFY75" s="2"/>
      <c r="AFZ75" s="2"/>
      <c r="AGA75" s="2"/>
      <c r="AGB75" s="2"/>
      <c r="AGC75" s="2"/>
      <c r="AGD75" s="2"/>
      <c r="AGE75" s="2"/>
      <c r="AGF75" s="2"/>
      <c r="AGG75" s="2"/>
      <c r="AGH75" s="2"/>
      <c r="AGI75" s="2"/>
      <c r="AGJ75" s="2"/>
      <c r="AGK75" s="2"/>
      <c r="AGL75" s="2"/>
      <c r="AGM75" s="2"/>
      <c r="AGN75" s="2"/>
      <c r="AGO75" s="2"/>
      <c r="AGP75" s="2"/>
      <c r="AGQ75" s="2"/>
      <c r="AGR75" s="2"/>
      <c r="AGS75" s="2"/>
      <c r="AGT75" s="2"/>
      <c r="AGU75" s="2"/>
      <c r="AGV75" s="2"/>
      <c r="AGW75" s="2"/>
      <c r="AGX75" s="2"/>
      <c r="AGY75" s="2"/>
      <c r="AGZ75" s="2"/>
      <c r="AHA75" s="2"/>
      <c r="AHB75" s="2"/>
      <c r="AHC75" s="2"/>
      <c r="AHD75" s="2"/>
      <c r="AHE75" s="2"/>
      <c r="AHF75" s="2"/>
      <c r="AHG75" s="2"/>
      <c r="AHH75" s="2"/>
      <c r="AHI75" s="2"/>
      <c r="AHJ75" s="2"/>
      <c r="AHK75" s="2"/>
      <c r="AHL75" s="2"/>
      <c r="AHM75" s="2"/>
      <c r="AHN75" s="2"/>
      <c r="AHO75" s="2"/>
      <c r="AHP75" s="2"/>
      <c r="AHQ75" s="2"/>
      <c r="AHR75" s="2"/>
      <c r="AHS75" s="2"/>
      <c r="AHT75" s="2"/>
      <c r="AHU75" s="2"/>
      <c r="AHV75" s="2"/>
      <c r="AHW75" s="2"/>
      <c r="AHX75" s="2"/>
      <c r="AHY75" s="2"/>
      <c r="AHZ75" s="2"/>
      <c r="AIA75" s="2"/>
      <c r="AIB75" s="2"/>
      <c r="AIC75" s="2"/>
      <c r="AID75" s="2"/>
      <c r="AIE75" s="2"/>
      <c r="AIF75" s="2"/>
      <c r="AIG75" s="2"/>
      <c r="AIH75" s="2"/>
      <c r="AII75" s="2"/>
      <c r="AIJ75" s="2"/>
      <c r="AIK75" s="2"/>
      <c r="AIL75" s="2"/>
      <c r="AIM75" s="2"/>
      <c r="AIN75" s="2"/>
      <c r="AIO75" s="2"/>
      <c r="AIP75" s="2"/>
      <c r="AIQ75" s="2"/>
      <c r="AIR75" s="2"/>
      <c r="AIS75" s="2"/>
      <c r="AIT75" s="2"/>
      <c r="AIU75" s="2"/>
      <c r="AIV75" s="2"/>
      <c r="AIW75" s="2"/>
      <c r="AIX75" s="2"/>
      <c r="AIY75" s="2"/>
      <c r="AIZ75" s="2"/>
      <c r="AJA75" s="2"/>
      <c r="AJB75" s="2"/>
      <c r="AJC75" s="2"/>
      <c r="AJD75" s="2"/>
      <c r="AJE75" s="2"/>
      <c r="AJF75" s="2"/>
      <c r="AJG75" s="2"/>
      <c r="AJH75" s="2"/>
      <c r="AJI75" s="2"/>
      <c r="AJJ75" s="2"/>
      <c r="AJK75" s="2"/>
      <c r="AJL75" s="2"/>
      <c r="AJM75" s="2"/>
      <c r="AJN75" s="2"/>
      <c r="AJO75" s="2"/>
      <c r="AJP75" s="2"/>
      <c r="AJQ75" s="2"/>
      <c r="AJR75" s="2"/>
      <c r="AJS75" s="2"/>
      <c r="AJT75" s="2"/>
      <c r="AJU75" s="2"/>
      <c r="AJV75" s="2"/>
      <c r="AJW75" s="2"/>
      <c r="AJX75" s="2"/>
      <c r="AJY75" s="2"/>
      <c r="AJZ75" s="2"/>
      <c r="AKA75" s="2"/>
      <c r="AKB75" s="2"/>
      <c r="AKC75" s="2"/>
      <c r="AKD75" s="2"/>
      <c r="AKE75" s="2"/>
      <c r="AKF75" s="2"/>
      <c r="AKG75" s="2"/>
      <c r="AKH75" s="2"/>
      <c r="AKI75" s="2"/>
      <c r="AKJ75" s="2"/>
      <c r="AKK75" s="2"/>
      <c r="AKL75" s="2"/>
      <c r="AKM75" s="2"/>
      <c r="AKN75" s="2"/>
      <c r="AKO75" s="2"/>
      <c r="AKP75" s="2"/>
      <c r="AKQ75" s="2"/>
      <c r="AKR75" s="2"/>
      <c r="AKS75" s="2"/>
      <c r="AKT75" s="2"/>
      <c r="AKU75" s="2"/>
      <c r="AKV75" s="2"/>
      <c r="AKW75" s="2"/>
      <c r="AKX75" s="2"/>
      <c r="AKY75" s="2"/>
      <c r="AKZ75" s="2"/>
      <c r="ALA75" s="2"/>
      <c r="ALB75" s="2"/>
      <c r="ALC75" s="2"/>
      <c r="ALD75" s="2"/>
      <c r="ALE75" s="2"/>
      <c r="ALF75" s="2"/>
      <c r="ALG75" s="2"/>
      <c r="ALH75" s="2"/>
      <c r="ALI75" s="2"/>
      <c r="ALJ75" s="2"/>
      <c r="ALK75" s="2"/>
      <c r="ALL75" s="2"/>
      <c r="ALM75" s="2"/>
      <c r="ALN75" s="2"/>
      <c r="ALO75" s="2"/>
      <c r="ALP75" s="2"/>
      <c r="ALQ75" s="2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spans="1:1024">
      <c r="A76" s="5" t="s">
        <v>18</v>
      </c>
      <c r="B76" s="8">
        <v>30000</v>
      </c>
      <c r="C76" s="9"/>
      <c r="D76" s="9">
        <f>B76</f>
        <v>30000</v>
      </c>
      <c r="E76" s="9"/>
      <c r="F76" s="9"/>
      <c r="G76" s="9"/>
      <c r="H76" s="9"/>
      <c r="I76" s="9"/>
      <c r="J76" s="9"/>
      <c r="K76" s="9"/>
      <c r="L76" s="9"/>
      <c r="M76" s="9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  <c r="ACG76" s="2"/>
      <c r="ACH76" s="2"/>
      <c r="ACI76" s="2"/>
      <c r="ACJ76" s="2"/>
      <c r="ACK76" s="2"/>
      <c r="ACL76" s="2"/>
      <c r="ACM76" s="2"/>
      <c r="ACN76" s="2"/>
      <c r="ACO76" s="2"/>
      <c r="ACP76" s="2"/>
      <c r="ACQ76" s="2"/>
      <c r="ACR76" s="2"/>
      <c r="ACS76" s="2"/>
      <c r="ACT76" s="2"/>
      <c r="ACU76" s="2"/>
      <c r="ACV76" s="2"/>
      <c r="ACW76" s="2"/>
      <c r="ACX76" s="2"/>
      <c r="ACY76" s="2"/>
      <c r="ACZ76" s="2"/>
      <c r="ADA76" s="2"/>
      <c r="ADB76" s="2"/>
      <c r="ADC76" s="2"/>
      <c r="ADD76" s="2"/>
      <c r="ADE76" s="2"/>
      <c r="ADF76" s="2"/>
      <c r="ADG76" s="2"/>
      <c r="ADH76" s="2"/>
      <c r="ADI76" s="2"/>
      <c r="ADJ76" s="2"/>
      <c r="ADK76" s="2"/>
      <c r="ADL76" s="2"/>
      <c r="ADM76" s="2"/>
      <c r="ADN76" s="2"/>
      <c r="ADO76" s="2"/>
      <c r="ADP76" s="2"/>
      <c r="ADQ76" s="2"/>
      <c r="ADR76" s="2"/>
      <c r="ADS76" s="2"/>
      <c r="ADT76" s="2"/>
      <c r="ADU76" s="2"/>
      <c r="ADV76" s="2"/>
      <c r="ADW76" s="2"/>
      <c r="ADX76" s="2"/>
      <c r="ADY76" s="2"/>
      <c r="ADZ76" s="2"/>
      <c r="AEA76" s="2"/>
      <c r="AEB76" s="2"/>
      <c r="AEC76" s="2"/>
      <c r="AED76" s="2"/>
      <c r="AEE76" s="2"/>
      <c r="AEF76" s="2"/>
      <c r="AEG76" s="2"/>
      <c r="AEH76" s="2"/>
      <c r="AEI76" s="2"/>
      <c r="AEJ76" s="2"/>
      <c r="AEK76" s="2"/>
      <c r="AEL76" s="2"/>
      <c r="AEM76" s="2"/>
      <c r="AEN76" s="2"/>
      <c r="AEO76" s="2"/>
      <c r="AEP76" s="2"/>
      <c r="AEQ76" s="2"/>
      <c r="AER76" s="2"/>
      <c r="AES76" s="2"/>
      <c r="AET76" s="2"/>
      <c r="AEU76" s="2"/>
      <c r="AEV76" s="2"/>
      <c r="AEW76" s="2"/>
      <c r="AEX76" s="2"/>
      <c r="AEY76" s="2"/>
      <c r="AEZ76" s="2"/>
      <c r="AFA76" s="2"/>
      <c r="AFB76" s="2"/>
      <c r="AFC76" s="2"/>
      <c r="AFD76" s="2"/>
      <c r="AFE76" s="2"/>
      <c r="AFF76" s="2"/>
      <c r="AFG76" s="2"/>
      <c r="AFH76" s="2"/>
      <c r="AFI76" s="2"/>
      <c r="AFJ76" s="2"/>
      <c r="AFK76" s="2"/>
      <c r="AFL76" s="2"/>
      <c r="AFM76" s="2"/>
      <c r="AFN76" s="2"/>
      <c r="AFO76" s="2"/>
      <c r="AFP76" s="2"/>
      <c r="AFQ76" s="2"/>
      <c r="AFR76" s="2"/>
      <c r="AFS76" s="2"/>
      <c r="AFT76" s="2"/>
      <c r="AFU76" s="2"/>
      <c r="AFV76" s="2"/>
      <c r="AFW76" s="2"/>
      <c r="AFX76" s="2"/>
      <c r="AFY76" s="2"/>
      <c r="AFZ76" s="2"/>
      <c r="AGA76" s="2"/>
      <c r="AGB76" s="2"/>
      <c r="AGC76" s="2"/>
      <c r="AGD76" s="2"/>
      <c r="AGE76" s="2"/>
      <c r="AGF76" s="2"/>
      <c r="AGG76" s="2"/>
      <c r="AGH76" s="2"/>
      <c r="AGI76" s="2"/>
      <c r="AGJ76" s="2"/>
      <c r="AGK76" s="2"/>
      <c r="AGL76" s="2"/>
      <c r="AGM76" s="2"/>
      <c r="AGN76" s="2"/>
      <c r="AGO76" s="2"/>
      <c r="AGP76" s="2"/>
      <c r="AGQ76" s="2"/>
      <c r="AGR76" s="2"/>
      <c r="AGS76" s="2"/>
      <c r="AGT76" s="2"/>
      <c r="AGU76" s="2"/>
      <c r="AGV76" s="2"/>
      <c r="AGW76" s="2"/>
      <c r="AGX76" s="2"/>
      <c r="AGY76" s="2"/>
      <c r="AGZ76" s="2"/>
      <c r="AHA76" s="2"/>
      <c r="AHB76" s="2"/>
      <c r="AHC76" s="2"/>
      <c r="AHD76" s="2"/>
      <c r="AHE76" s="2"/>
      <c r="AHF76" s="2"/>
      <c r="AHG76" s="2"/>
      <c r="AHH76" s="2"/>
      <c r="AHI76" s="2"/>
      <c r="AHJ76" s="2"/>
      <c r="AHK76" s="2"/>
      <c r="AHL76" s="2"/>
      <c r="AHM76" s="2"/>
      <c r="AHN76" s="2"/>
      <c r="AHO76" s="2"/>
      <c r="AHP76" s="2"/>
      <c r="AHQ76" s="2"/>
      <c r="AHR76" s="2"/>
      <c r="AHS76" s="2"/>
      <c r="AHT76" s="2"/>
      <c r="AHU76" s="2"/>
      <c r="AHV76" s="2"/>
      <c r="AHW76" s="2"/>
      <c r="AHX76" s="2"/>
      <c r="AHY76" s="2"/>
      <c r="AHZ76" s="2"/>
      <c r="AIA76" s="2"/>
      <c r="AIB76" s="2"/>
      <c r="AIC76" s="2"/>
      <c r="AID76" s="2"/>
      <c r="AIE76" s="2"/>
      <c r="AIF76" s="2"/>
      <c r="AIG76" s="2"/>
      <c r="AIH76" s="2"/>
      <c r="AII76" s="2"/>
      <c r="AIJ76" s="2"/>
      <c r="AIK76" s="2"/>
      <c r="AIL76" s="2"/>
      <c r="AIM76" s="2"/>
      <c r="AIN76" s="2"/>
      <c r="AIO76" s="2"/>
      <c r="AIP76" s="2"/>
      <c r="AIQ76" s="2"/>
      <c r="AIR76" s="2"/>
      <c r="AIS76" s="2"/>
      <c r="AIT76" s="2"/>
      <c r="AIU76" s="2"/>
      <c r="AIV76" s="2"/>
      <c r="AIW76" s="2"/>
      <c r="AIX76" s="2"/>
      <c r="AIY76" s="2"/>
      <c r="AIZ76" s="2"/>
      <c r="AJA76" s="2"/>
      <c r="AJB76" s="2"/>
      <c r="AJC76" s="2"/>
      <c r="AJD76" s="2"/>
      <c r="AJE76" s="2"/>
      <c r="AJF76" s="2"/>
      <c r="AJG76" s="2"/>
      <c r="AJH76" s="2"/>
      <c r="AJI76" s="2"/>
      <c r="AJJ76" s="2"/>
      <c r="AJK76" s="2"/>
      <c r="AJL76" s="2"/>
      <c r="AJM76" s="2"/>
      <c r="AJN76" s="2"/>
      <c r="AJO76" s="2"/>
      <c r="AJP76" s="2"/>
      <c r="AJQ76" s="2"/>
      <c r="AJR76" s="2"/>
      <c r="AJS76" s="2"/>
      <c r="AJT76" s="2"/>
      <c r="AJU76" s="2"/>
      <c r="AJV76" s="2"/>
      <c r="AJW76" s="2"/>
      <c r="AJX76" s="2"/>
      <c r="AJY76" s="2"/>
      <c r="AJZ76" s="2"/>
      <c r="AKA76" s="2"/>
      <c r="AKB76" s="2"/>
      <c r="AKC76" s="2"/>
      <c r="AKD76" s="2"/>
      <c r="AKE76" s="2"/>
      <c r="AKF76" s="2"/>
      <c r="AKG76" s="2"/>
      <c r="AKH76" s="2"/>
      <c r="AKI76" s="2"/>
      <c r="AKJ76" s="2"/>
      <c r="AKK76" s="2"/>
      <c r="AKL76" s="2"/>
      <c r="AKM76" s="2"/>
      <c r="AKN76" s="2"/>
      <c r="AKO76" s="2"/>
      <c r="AKP76" s="2"/>
      <c r="AKQ76" s="2"/>
      <c r="AKR76" s="2"/>
      <c r="AKS76" s="2"/>
      <c r="AKT76" s="2"/>
      <c r="AKU76" s="2"/>
      <c r="AKV76" s="2"/>
      <c r="AKW76" s="2"/>
      <c r="AKX76" s="2"/>
      <c r="AKY76" s="2"/>
      <c r="AKZ76" s="2"/>
      <c r="ALA76" s="2"/>
      <c r="ALB76" s="2"/>
      <c r="ALC76" s="2"/>
      <c r="ALD76" s="2"/>
      <c r="ALE76" s="2"/>
      <c r="ALF76" s="2"/>
      <c r="ALG76" s="2"/>
      <c r="ALH76" s="2"/>
      <c r="ALI76" s="2"/>
      <c r="ALJ76" s="2"/>
      <c r="ALK76" s="2"/>
      <c r="ALL76" s="2"/>
      <c r="ALM76" s="2"/>
      <c r="ALN76" s="2"/>
      <c r="ALO76" s="2"/>
      <c r="ALP76" s="2"/>
      <c r="ALQ76" s="2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spans="1:1024">
      <c r="A77" s="5" t="s">
        <v>19</v>
      </c>
      <c r="B77" s="8">
        <v>32000</v>
      </c>
      <c r="C77" s="9"/>
      <c r="D77" s="9"/>
      <c r="E77" s="9"/>
      <c r="F77" s="9"/>
      <c r="G77" s="9"/>
      <c r="H77" s="9"/>
      <c r="I77" s="9"/>
      <c r="J77" s="9"/>
      <c r="K77" s="9">
        <f>B77</f>
        <v>32000</v>
      </c>
      <c r="L77" s="9"/>
      <c r="M77" s="9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  <c r="ACG77" s="2"/>
      <c r="ACH77" s="2"/>
      <c r="ACI77" s="2"/>
      <c r="ACJ77" s="2"/>
      <c r="ACK77" s="2"/>
      <c r="ACL77" s="2"/>
      <c r="ACM77" s="2"/>
      <c r="ACN77" s="2"/>
      <c r="ACO77" s="2"/>
      <c r="ACP77" s="2"/>
      <c r="ACQ77" s="2"/>
      <c r="ACR77" s="2"/>
      <c r="ACS77" s="2"/>
      <c r="ACT77" s="2"/>
      <c r="ACU77" s="2"/>
      <c r="ACV77" s="2"/>
      <c r="ACW77" s="2"/>
      <c r="ACX77" s="2"/>
      <c r="ACY77" s="2"/>
      <c r="ACZ77" s="2"/>
      <c r="ADA77" s="2"/>
      <c r="ADB77" s="2"/>
      <c r="ADC77" s="2"/>
      <c r="ADD77" s="2"/>
      <c r="ADE77" s="2"/>
      <c r="ADF77" s="2"/>
      <c r="ADG77" s="2"/>
      <c r="ADH77" s="2"/>
      <c r="ADI77" s="2"/>
      <c r="ADJ77" s="2"/>
      <c r="ADK77" s="2"/>
      <c r="ADL77" s="2"/>
      <c r="ADM77" s="2"/>
      <c r="ADN77" s="2"/>
      <c r="ADO77" s="2"/>
      <c r="ADP77" s="2"/>
      <c r="ADQ77" s="2"/>
      <c r="ADR77" s="2"/>
      <c r="ADS77" s="2"/>
      <c r="ADT77" s="2"/>
      <c r="ADU77" s="2"/>
      <c r="ADV77" s="2"/>
      <c r="ADW77" s="2"/>
      <c r="ADX77" s="2"/>
      <c r="ADY77" s="2"/>
      <c r="ADZ77" s="2"/>
      <c r="AEA77" s="2"/>
      <c r="AEB77" s="2"/>
      <c r="AEC77" s="2"/>
      <c r="AED77" s="2"/>
      <c r="AEE77" s="2"/>
      <c r="AEF77" s="2"/>
      <c r="AEG77" s="2"/>
      <c r="AEH77" s="2"/>
      <c r="AEI77" s="2"/>
      <c r="AEJ77" s="2"/>
      <c r="AEK77" s="2"/>
      <c r="AEL77" s="2"/>
      <c r="AEM77" s="2"/>
      <c r="AEN77" s="2"/>
      <c r="AEO77" s="2"/>
      <c r="AEP77" s="2"/>
      <c r="AEQ77" s="2"/>
      <c r="AER77" s="2"/>
      <c r="AES77" s="2"/>
      <c r="AET77" s="2"/>
      <c r="AEU77" s="2"/>
      <c r="AEV77" s="2"/>
      <c r="AEW77" s="2"/>
      <c r="AEX77" s="2"/>
      <c r="AEY77" s="2"/>
      <c r="AEZ77" s="2"/>
      <c r="AFA77" s="2"/>
      <c r="AFB77" s="2"/>
      <c r="AFC77" s="2"/>
      <c r="AFD77" s="2"/>
      <c r="AFE77" s="2"/>
      <c r="AFF77" s="2"/>
      <c r="AFG77" s="2"/>
      <c r="AFH77" s="2"/>
      <c r="AFI77" s="2"/>
      <c r="AFJ77" s="2"/>
      <c r="AFK77" s="2"/>
      <c r="AFL77" s="2"/>
      <c r="AFM77" s="2"/>
      <c r="AFN77" s="2"/>
      <c r="AFO77" s="2"/>
      <c r="AFP77" s="2"/>
      <c r="AFQ77" s="2"/>
      <c r="AFR77" s="2"/>
      <c r="AFS77" s="2"/>
      <c r="AFT77" s="2"/>
      <c r="AFU77" s="2"/>
      <c r="AFV77" s="2"/>
      <c r="AFW77" s="2"/>
      <c r="AFX77" s="2"/>
      <c r="AFY77" s="2"/>
      <c r="AFZ77" s="2"/>
      <c r="AGA77" s="2"/>
      <c r="AGB77" s="2"/>
      <c r="AGC77" s="2"/>
      <c r="AGD77" s="2"/>
      <c r="AGE77" s="2"/>
      <c r="AGF77" s="2"/>
      <c r="AGG77" s="2"/>
      <c r="AGH77" s="2"/>
      <c r="AGI77" s="2"/>
      <c r="AGJ77" s="2"/>
      <c r="AGK77" s="2"/>
      <c r="AGL77" s="2"/>
      <c r="AGM77" s="2"/>
      <c r="AGN77" s="2"/>
      <c r="AGO77" s="2"/>
      <c r="AGP77" s="2"/>
      <c r="AGQ77" s="2"/>
      <c r="AGR77" s="2"/>
      <c r="AGS77" s="2"/>
      <c r="AGT77" s="2"/>
      <c r="AGU77" s="2"/>
      <c r="AGV77" s="2"/>
      <c r="AGW77" s="2"/>
      <c r="AGX77" s="2"/>
      <c r="AGY77" s="2"/>
      <c r="AGZ77" s="2"/>
      <c r="AHA77" s="2"/>
      <c r="AHB77" s="2"/>
      <c r="AHC77" s="2"/>
      <c r="AHD77" s="2"/>
      <c r="AHE77" s="2"/>
      <c r="AHF77" s="2"/>
      <c r="AHG77" s="2"/>
      <c r="AHH77" s="2"/>
      <c r="AHI77" s="2"/>
      <c r="AHJ77" s="2"/>
      <c r="AHK77" s="2"/>
      <c r="AHL77" s="2"/>
      <c r="AHM77" s="2"/>
      <c r="AHN77" s="2"/>
      <c r="AHO77" s="2"/>
      <c r="AHP77" s="2"/>
      <c r="AHQ77" s="2"/>
      <c r="AHR77" s="2"/>
      <c r="AHS77" s="2"/>
      <c r="AHT77" s="2"/>
      <c r="AHU77" s="2"/>
      <c r="AHV77" s="2"/>
      <c r="AHW77" s="2"/>
      <c r="AHX77" s="2"/>
      <c r="AHY77" s="2"/>
      <c r="AHZ77" s="2"/>
      <c r="AIA77" s="2"/>
      <c r="AIB77" s="2"/>
      <c r="AIC77" s="2"/>
      <c r="AID77" s="2"/>
      <c r="AIE77" s="2"/>
      <c r="AIF77" s="2"/>
      <c r="AIG77" s="2"/>
      <c r="AIH77" s="2"/>
      <c r="AII77" s="2"/>
      <c r="AIJ77" s="2"/>
      <c r="AIK77" s="2"/>
      <c r="AIL77" s="2"/>
      <c r="AIM77" s="2"/>
      <c r="AIN77" s="2"/>
      <c r="AIO77" s="2"/>
      <c r="AIP77" s="2"/>
      <c r="AIQ77" s="2"/>
      <c r="AIR77" s="2"/>
      <c r="AIS77" s="2"/>
      <c r="AIT77" s="2"/>
      <c r="AIU77" s="2"/>
      <c r="AIV77" s="2"/>
      <c r="AIW77" s="2"/>
      <c r="AIX77" s="2"/>
      <c r="AIY77" s="2"/>
      <c r="AIZ77" s="2"/>
      <c r="AJA77" s="2"/>
      <c r="AJB77" s="2"/>
      <c r="AJC77" s="2"/>
      <c r="AJD77" s="2"/>
      <c r="AJE77" s="2"/>
      <c r="AJF77" s="2"/>
      <c r="AJG77" s="2"/>
      <c r="AJH77" s="2"/>
      <c r="AJI77" s="2"/>
      <c r="AJJ77" s="2"/>
      <c r="AJK77" s="2"/>
      <c r="AJL77" s="2"/>
      <c r="AJM77" s="2"/>
      <c r="AJN77" s="2"/>
      <c r="AJO77" s="2"/>
      <c r="AJP77" s="2"/>
      <c r="AJQ77" s="2"/>
      <c r="AJR77" s="2"/>
      <c r="AJS77" s="2"/>
      <c r="AJT77" s="2"/>
      <c r="AJU77" s="2"/>
      <c r="AJV77" s="2"/>
      <c r="AJW77" s="2"/>
      <c r="AJX77" s="2"/>
      <c r="AJY77" s="2"/>
      <c r="AJZ77" s="2"/>
      <c r="AKA77" s="2"/>
      <c r="AKB77" s="2"/>
      <c r="AKC77" s="2"/>
      <c r="AKD77" s="2"/>
      <c r="AKE77" s="2"/>
      <c r="AKF77" s="2"/>
      <c r="AKG77" s="2"/>
      <c r="AKH77" s="2"/>
      <c r="AKI77" s="2"/>
      <c r="AKJ77" s="2"/>
      <c r="AKK77" s="2"/>
      <c r="AKL77" s="2"/>
      <c r="AKM77" s="2"/>
      <c r="AKN77" s="2"/>
      <c r="AKO77" s="2"/>
      <c r="AKP77" s="2"/>
      <c r="AKQ77" s="2"/>
      <c r="AKR77" s="2"/>
      <c r="AKS77" s="2"/>
      <c r="AKT77" s="2"/>
      <c r="AKU77" s="2"/>
      <c r="AKV77" s="2"/>
      <c r="AKW77" s="2"/>
      <c r="AKX77" s="2"/>
      <c r="AKY77" s="2"/>
      <c r="AKZ77" s="2"/>
      <c r="ALA77" s="2"/>
      <c r="ALB77" s="2"/>
      <c r="ALC77" s="2"/>
      <c r="ALD77" s="2"/>
      <c r="ALE77" s="2"/>
      <c r="ALF77" s="2"/>
      <c r="ALG77" s="2"/>
      <c r="ALH77" s="2"/>
      <c r="ALI77" s="2"/>
      <c r="ALJ77" s="2"/>
      <c r="ALK77" s="2"/>
      <c r="ALL77" s="2"/>
      <c r="ALM77" s="2"/>
      <c r="ALN77" s="2"/>
      <c r="ALO77" s="2"/>
      <c r="ALP77" s="2"/>
      <c r="ALQ77" s="2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spans="1:1024">
      <c r="A78" s="5" t="s">
        <v>20</v>
      </c>
      <c r="B78" s="8"/>
      <c r="C78" s="9"/>
      <c r="D78" s="9"/>
      <c r="E78" s="9"/>
      <c r="F78" s="9"/>
      <c r="G78" s="9">
        <v>568000</v>
      </c>
      <c r="H78" s="9"/>
      <c r="I78" s="9"/>
      <c r="J78" s="9"/>
      <c r="K78" s="9"/>
      <c r="L78" s="9"/>
      <c r="M78" s="9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  <c r="ACG78" s="2"/>
      <c r="ACH78" s="2"/>
      <c r="ACI78" s="2"/>
      <c r="ACJ78" s="2"/>
      <c r="ACK78" s="2"/>
      <c r="ACL78" s="2"/>
      <c r="ACM78" s="2"/>
      <c r="ACN78" s="2"/>
      <c r="ACO78" s="2"/>
      <c r="ACP78" s="2"/>
      <c r="ACQ78" s="2"/>
      <c r="ACR78" s="2"/>
      <c r="ACS78" s="2"/>
      <c r="ACT78" s="2"/>
      <c r="ACU78" s="2"/>
      <c r="ACV78" s="2"/>
      <c r="ACW78" s="2"/>
      <c r="ACX78" s="2"/>
      <c r="ACY78" s="2"/>
      <c r="ACZ78" s="2"/>
      <c r="ADA78" s="2"/>
      <c r="ADB78" s="2"/>
      <c r="ADC78" s="2"/>
      <c r="ADD78" s="2"/>
      <c r="ADE78" s="2"/>
      <c r="ADF78" s="2"/>
      <c r="ADG78" s="2"/>
      <c r="ADH78" s="2"/>
      <c r="ADI78" s="2"/>
      <c r="ADJ78" s="2"/>
      <c r="ADK78" s="2"/>
      <c r="ADL78" s="2"/>
      <c r="ADM78" s="2"/>
      <c r="ADN78" s="2"/>
      <c r="ADO78" s="2"/>
      <c r="ADP78" s="2"/>
      <c r="ADQ78" s="2"/>
      <c r="ADR78" s="2"/>
      <c r="ADS78" s="2"/>
      <c r="ADT78" s="2"/>
      <c r="ADU78" s="2"/>
      <c r="ADV78" s="2"/>
      <c r="ADW78" s="2"/>
      <c r="ADX78" s="2"/>
      <c r="ADY78" s="2"/>
      <c r="ADZ78" s="2"/>
      <c r="AEA78" s="2"/>
      <c r="AEB78" s="2"/>
      <c r="AEC78" s="2"/>
      <c r="AED78" s="2"/>
      <c r="AEE78" s="2"/>
      <c r="AEF78" s="2"/>
      <c r="AEG78" s="2"/>
      <c r="AEH78" s="2"/>
      <c r="AEI78" s="2"/>
      <c r="AEJ78" s="2"/>
      <c r="AEK78" s="2"/>
      <c r="AEL78" s="2"/>
      <c r="AEM78" s="2"/>
      <c r="AEN78" s="2"/>
      <c r="AEO78" s="2"/>
      <c r="AEP78" s="2"/>
      <c r="AEQ78" s="2"/>
      <c r="AER78" s="2"/>
      <c r="AES78" s="2"/>
      <c r="AET78" s="2"/>
      <c r="AEU78" s="2"/>
      <c r="AEV78" s="2"/>
      <c r="AEW78" s="2"/>
      <c r="AEX78" s="2"/>
      <c r="AEY78" s="2"/>
      <c r="AEZ78" s="2"/>
      <c r="AFA78" s="2"/>
      <c r="AFB78" s="2"/>
      <c r="AFC78" s="2"/>
      <c r="AFD78" s="2"/>
      <c r="AFE78" s="2"/>
      <c r="AFF78" s="2"/>
      <c r="AFG78" s="2"/>
      <c r="AFH78" s="2"/>
      <c r="AFI78" s="2"/>
      <c r="AFJ78" s="2"/>
      <c r="AFK78" s="2"/>
      <c r="AFL78" s="2"/>
      <c r="AFM78" s="2"/>
      <c r="AFN78" s="2"/>
      <c r="AFO78" s="2"/>
      <c r="AFP78" s="2"/>
      <c r="AFQ78" s="2"/>
      <c r="AFR78" s="2"/>
      <c r="AFS78" s="2"/>
      <c r="AFT78" s="2"/>
      <c r="AFU78" s="2"/>
      <c r="AFV78" s="2"/>
      <c r="AFW78" s="2"/>
      <c r="AFX78" s="2"/>
      <c r="AFY78" s="2"/>
      <c r="AFZ78" s="2"/>
      <c r="AGA78" s="2"/>
      <c r="AGB78" s="2"/>
      <c r="AGC78" s="2"/>
      <c r="AGD78" s="2"/>
      <c r="AGE78" s="2"/>
      <c r="AGF78" s="2"/>
      <c r="AGG78" s="2"/>
      <c r="AGH78" s="2"/>
      <c r="AGI78" s="2"/>
      <c r="AGJ78" s="2"/>
      <c r="AGK78" s="2"/>
      <c r="AGL78" s="2"/>
      <c r="AGM78" s="2"/>
      <c r="AGN78" s="2"/>
      <c r="AGO78" s="2"/>
      <c r="AGP78" s="2"/>
      <c r="AGQ78" s="2"/>
      <c r="AGR78" s="2"/>
      <c r="AGS78" s="2"/>
      <c r="AGT78" s="2"/>
      <c r="AGU78" s="2"/>
      <c r="AGV78" s="2"/>
      <c r="AGW78" s="2"/>
      <c r="AGX78" s="2"/>
      <c r="AGY78" s="2"/>
      <c r="AGZ78" s="2"/>
      <c r="AHA78" s="2"/>
      <c r="AHB78" s="2"/>
      <c r="AHC78" s="2"/>
      <c r="AHD78" s="2"/>
      <c r="AHE78" s="2"/>
      <c r="AHF78" s="2"/>
      <c r="AHG78" s="2"/>
      <c r="AHH78" s="2"/>
      <c r="AHI78" s="2"/>
      <c r="AHJ78" s="2"/>
      <c r="AHK78" s="2"/>
      <c r="AHL78" s="2"/>
      <c r="AHM78" s="2"/>
      <c r="AHN78" s="2"/>
      <c r="AHO78" s="2"/>
      <c r="AHP78" s="2"/>
      <c r="AHQ78" s="2"/>
      <c r="AHR78" s="2"/>
      <c r="AHS78" s="2"/>
      <c r="AHT78" s="2"/>
      <c r="AHU78" s="2"/>
      <c r="AHV78" s="2"/>
      <c r="AHW78" s="2"/>
      <c r="AHX78" s="2"/>
      <c r="AHY78" s="2"/>
      <c r="AHZ78" s="2"/>
      <c r="AIA78" s="2"/>
      <c r="AIB78" s="2"/>
      <c r="AIC78" s="2"/>
      <c r="AID78" s="2"/>
      <c r="AIE78" s="2"/>
      <c r="AIF78" s="2"/>
      <c r="AIG78" s="2"/>
      <c r="AIH78" s="2"/>
      <c r="AII78" s="2"/>
      <c r="AIJ78" s="2"/>
      <c r="AIK78" s="2"/>
      <c r="AIL78" s="2"/>
      <c r="AIM78" s="2"/>
      <c r="AIN78" s="2"/>
      <c r="AIO78" s="2"/>
      <c r="AIP78" s="2"/>
      <c r="AIQ78" s="2"/>
      <c r="AIR78" s="2"/>
      <c r="AIS78" s="2"/>
      <c r="AIT78" s="2"/>
      <c r="AIU78" s="2"/>
      <c r="AIV78" s="2"/>
      <c r="AIW78" s="2"/>
      <c r="AIX78" s="2"/>
      <c r="AIY78" s="2"/>
      <c r="AIZ78" s="2"/>
      <c r="AJA78" s="2"/>
      <c r="AJB78" s="2"/>
      <c r="AJC78" s="2"/>
      <c r="AJD78" s="2"/>
      <c r="AJE78" s="2"/>
      <c r="AJF78" s="2"/>
      <c r="AJG78" s="2"/>
      <c r="AJH78" s="2"/>
      <c r="AJI78" s="2"/>
      <c r="AJJ78" s="2"/>
      <c r="AJK78" s="2"/>
      <c r="AJL78" s="2"/>
      <c r="AJM78" s="2"/>
      <c r="AJN78" s="2"/>
      <c r="AJO78" s="2"/>
      <c r="AJP78" s="2"/>
      <c r="AJQ78" s="2"/>
      <c r="AJR78" s="2"/>
      <c r="AJS78" s="2"/>
      <c r="AJT78" s="2"/>
      <c r="AJU78" s="2"/>
      <c r="AJV78" s="2"/>
      <c r="AJW78" s="2"/>
      <c r="AJX78" s="2"/>
      <c r="AJY78" s="2"/>
      <c r="AJZ78" s="2"/>
      <c r="AKA78" s="2"/>
      <c r="AKB78" s="2"/>
      <c r="AKC78" s="2"/>
      <c r="AKD78" s="2"/>
      <c r="AKE78" s="2"/>
      <c r="AKF78" s="2"/>
      <c r="AKG78" s="2"/>
      <c r="AKH78" s="2"/>
      <c r="AKI78" s="2"/>
      <c r="AKJ78" s="2"/>
      <c r="AKK78" s="2"/>
      <c r="AKL78" s="2"/>
      <c r="AKM78" s="2"/>
      <c r="AKN78" s="2"/>
      <c r="AKO78" s="2"/>
      <c r="AKP78" s="2"/>
      <c r="AKQ78" s="2"/>
      <c r="AKR78" s="2"/>
      <c r="AKS78" s="2"/>
      <c r="AKT78" s="2"/>
      <c r="AKU78" s="2"/>
      <c r="AKV78" s="2"/>
      <c r="AKW78" s="2"/>
      <c r="AKX78" s="2"/>
      <c r="AKY78" s="2"/>
      <c r="AKZ78" s="2"/>
      <c r="ALA78" s="2"/>
      <c r="ALB78" s="2"/>
      <c r="ALC78" s="2"/>
      <c r="ALD78" s="2"/>
      <c r="ALE78" s="2"/>
      <c r="ALF78" s="2"/>
      <c r="ALG78" s="2"/>
      <c r="ALH78" s="2"/>
      <c r="ALI78" s="2"/>
      <c r="ALJ78" s="2"/>
      <c r="ALK78" s="2"/>
      <c r="ALL78" s="2"/>
      <c r="ALM78" s="2"/>
      <c r="ALN78" s="2"/>
      <c r="ALO78" s="2"/>
      <c r="ALP78" s="2"/>
      <c r="ALQ78" s="2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spans="1:1024">
      <c r="A79" s="5" t="s">
        <v>21</v>
      </c>
      <c r="B79" s="8">
        <v>100000</v>
      </c>
      <c r="C79" s="9"/>
      <c r="D79" s="9">
        <f>B79</f>
        <v>100000</v>
      </c>
      <c r="E79" s="9"/>
      <c r="F79" s="9"/>
      <c r="G79" s="9"/>
      <c r="H79" s="9"/>
      <c r="I79" s="9"/>
      <c r="J79" s="9"/>
      <c r="K79" s="9"/>
      <c r="L79" s="9"/>
      <c r="M79" s="9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  <c r="ACG79" s="2"/>
      <c r="ACH79" s="2"/>
      <c r="ACI79" s="2"/>
      <c r="ACJ79" s="2"/>
      <c r="ACK79" s="2"/>
      <c r="ACL79" s="2"/>
      <c r="ACM79" s="2"/>
      <c r="ACN79" s="2"/>
      <c r="ACO79" s="2"/>
      <c r="ACP79" s="2"/>
      <c r="ACQ79" s="2"/>
      <c r="ACR79" s="2"/>
      <c r="ACS79" s="2"/>
      <c r="ACT79" s="2"/>
      <c r="ACU79" s="2"/>
      <c r="ACV79" s="2"/>
      <c r="ACW79" s="2"/>
      <c r="ACX79" s="2"/>
      <c r="ACY79" s="2"/>
      <c r="ACZ79" s="2"/>
      <c r="ADA79" s="2"/>
      <c r="ADB79" s="2"/>
      <c r="ADC79" s="2"/>
      <c r="ADD79" s="2"/>
      <c r="ADE79" s="2"/>
      <c r="ADF79" s="2"/>
      <c r="ADG79" s="2"/>
      <c r="ADH79" s="2"/>
      <c r="ADI79" s="2"/>
      <c r="ADJ79" s="2"/>
      <c r="ADK79" s="2"/>
      <c r="ADL79" s="2"/>
      <c r="ADM79" s="2"/>
      <c r="ADN79" s="2"/>
      <c r="ADO79" s="2"/>
      <c r="ADP79" s="2"/>
      <c r="ADQ79" s="2"/>
      <c r="ADR79" s="2"/>
      <c r="ADS79" s="2"/>
      <c r="ADT79" s="2"/>
      <c r="ADU79" s="2"/>
      <c r="ADV79" s="2"/>
      <c r="ADW79" s="2"/>
      <c r="ADX79" s="2"/>
      <c r="ADY79" s="2"/>
      <c r="ADZ79" s="2"/>
      <c r="AEA79" s="2"/>
      <c r="AEB79" s="2"/>
      <c r="AEC79" s="2"/>
      <c r="AED79" s="2"/>
      <c r="AEE79" s="2"/>
      <c r="AEF79" s="2"/>
      <c r="AEG79" s="2"/>
      <c r="AEH79" s="2"/>
      <c r="AEI79" s="2"/>
      <c r="AEJ79" s="2"/>
      <c r="AEK79" s="2"/>
      <c r="AEL79" s="2"/>
      <c r="AEM79" s="2"/>
      <c r="AEN79" s="2"/>
      <c r="AEO79" s="2"/>
      <c r="AEP79" s="2"/>
      <c r="AEQ79" s="2"/>
      <c r="AER79" s="2"/>
      <c r="AES79" s="2"/>
      <c r="AET79" s="2"/>
      <c r="AEU79" s="2"/>
      <c r="AEV79" s="2"/>
      <c r="AEW79" s="2"/>
      <c r="AEX79" s="2"/>
      <c r="AEY79" s="2"/>
      <c r="AEZ79" s="2"/>
      <c r="AFA79" s="2"/>
      <c r="AFB79" s="2"/>
      <c r="AFC79" s="2"/>
      <c r="AFD79" s="2"/>
      <c r="AFE79" s="2"/>
      <c r="AFF79" s="2"/>
      <c r="AFG79" s="2"/>
      <c r="AFH79" s="2"/>
      <c r="AFI79" s="2"/>
      <c r="AFJ79" s="2"/>
      <c r="AFK79" s="2"/>
      <c r="AFL79" s="2"/>
      <c r="AFM79" s="2"/>
      <c r="AFN79" s="2"/>
      <c r="AFO79" s="2"/>
      <c r="AFP79" s="2"/>
      <c r="AFQ79" s="2"/>
      <c r="AFR79" s="2"/>
      <c r="AFS79" s="2"/>
      <c r="AFT79" s="2"/>
      <c r="AFU79" s="2"/>
      <c r="AFV79" s="2"/>
      <c r="AFW79" s="2"/>
      <c r="AFX79" s="2"/>
      <c r="AFY79" s="2"/>
      <c r="AFZ79" s="2"/>
      <c r="AGA79" s="2"/>
      <c r="AGB79" s="2"/>
      <c r="AGC79" s="2"/>
      <c r="AGD79" s="2"/>
      <c r="AGE79" s="2"/>
      <c r="AGF79" s="2"/>
      <c r="AGG79" s="2"/>
      <c r="AGH79" s="2"/>
      <c r="AGI79" s="2"/>
      <c r="AGJ79" s="2"/>
      <c r="AGK79" s="2"/>
      <c r="AGL79" s="2"/>
      <c r="AGM79" s="2"/>
      <c r="AGN79" s="2"/>
      <c r="AGO79" s="2"/>
      <c r="AGP79" s="2"/>
      <c r="AGQ79" s="2"/>
      <c r="AGR79" s="2"/>
      <c r="AGS79" s="2"/>
      <c r="AGT79" s="2"/>
      <c r="AGU79" s="2"/>
      <c r="AGV79" s="2"/>
      <c r="AGW79" s="2"/>
      <c r="AGX79" s="2"/>
      <c r="AGY79" s="2"/>
      <c r="AGZ79" s="2"/>
      <c r="AHA79" s="2"/>
      <c r="AHB79" s="2"/>
      <c r="AHC79" s="2"/>
      <c r="AHD79" s="2"/>
      <c r="AHE79" s="2"/>
      <c r="AHF79" s="2"/>
      <c r="AHG79" s="2"/>
      <c r="AHH79" s="2"/>
      <c r="AHI79" s="2"/>
      <c r="AHJ79" s="2"/>
      <c r="AHK79" s="2"/>
      <c r="AHL79" s="2"/>
      <c r="AHM79" s="2"/>
      <c r="AHN79" s="2"/>
      <c r="AHO79" s="2"/>
      <c r="AHP79" s="2"/>
      <c r="AHQ79" s="2"/>
      <c r="AHR79" s="2"/>
      <c r="AHS79" s="2"/>
      <c r="AHT79" s="2"/>
      <c r="AHU79" s="2"/>
      <c r="AHV79" s="2"/>
      <c r="AHW79" s="2"/>
      <c r="AHX79" s="2"/>
      <c r="AHY79" s="2"/>
      <c r="AHZ79" s="2"/>
      <c r="AIA79" s="2"/>
      <c r="AIB79" s="2"/>
      <c r="AIC79" s="2"/>
      <c r="AID79" s="2"/>
      <c r="AIE79" s="2"/>
      <c r="AIF79" s="2"/>
      <c r="AIG79" s="2"/>
      <c r="AIH79" s="2"/>
      <c r="AII79" s="2"/>
      <c r="AIJ79" s="2"/>
      <c r="AIK79" s="2"/>
      <c r="AIL79" s="2"/>
      <c r="AIM79" s="2"/>
      <c r="AIN79" s="2"/>
      <c r="AIO79" s="2"/>
      <c r="AIP79" s="2"/>
      <c r="AIQ79" s="2"/>
      <c r="AIR79" s="2"/>
      <c r="AIS79" s="2"/>
      <c r="AIT79" s="2"/>
      <c r="AIU79" s="2"/>
      <c r="AIV79" s="2"/>
      <c r="AIW79" s="2"/>
      <c r="AIX79" s="2"/>
      <c r="AIY79" s="2"/>
      <c r="AIZ79" s="2"/>
      <c r="AJA79" s="2"/>
      <c r="AJB79" s="2"/>
      <c r="AJC79" s="2"/>
      <c r="AJD79" s="2"/>
      <c r="AJE79" s="2"/>
      <c r="AJF79" s="2"/>
      <c r="AJG79" s="2"/>
      <c r="AJH79" s="2"/>
      <c r="AJI79" s="2"/>
      <c r="AJJ79" s="2"/>
      <c r="AJK79" s="2"/>
      <c r="AJL79" s="2"/>
      <c r="AJM79" s="2"/>
      <c r="AJN79" s="2"/>
      <c r="AJO79" s="2"/>
      <c r="AJP79" s="2"/>
      <c r="AJQ79" s="2"/>
      <c r="AJR79" s="2"/>
      <c r="AJS79" s="2"/>
      <c r="AJT79" s="2"/>
      <c r="AJU79" s="2"/>
      <c r="AJV79" s="2"/>
      <c r="AJW79" s="2"/>
      <c r="AJX79" s="2"/>
      <c r="AJY79" s="2"/>
      <c r="AJZ79" s="2"/>
      <c r="AKA79" s="2"/>
      <c r="AKB79" s="2"/>
      <c r="AKC79" s="2"/>
      <c r="AKD79" s="2"/>
      <c r="AKE79" s="2"/>
      <c r="AKF79" s="2"/>
      <c r="AKG79" s="2"/>
      <c r="AKH79" s="2"/>
      <c r="AKI79" s="2"/>
      <c r="AKJ79" s="2"/>
      <c r="AKK79" s="2"/>
      <c r="AKL79" s="2"/>
      <c r="AKM79" s="2"/>
      <c r="AKN79" s="2"/>
      <c r="AKO79" s="2"/>
      <c r="AKP79" s="2"/>
      <c r="AKQ79" s="2"/>
      <c r="AKR79" s="2"/>
      <c r="AKS79" s="2"/>
      <c r="AKT79" s="2"/>
      <c r="AKU79" s="2"/>
      <c r="AKV79" s="2"/>
      <c r="AKW79" s="2"/>
      <c r="AKX79" s="2"/>
      <c r="AKY79" s="2"/>
      <c r="AKZ79" s="2"/>
      <c r="ALA79" s="2"/>
      <c r="ALB79" s="2"/>
      <c r="ALC79" s="2"/>
      <c r="ALD79" s="2"/>
      <c r="ALE79" s="2"/>
      <c r="ALF79" s="2"/>
      <c r="ALG79" s="2"/>
      <c r="ALH79" s="2"/>
      <c r="ALI79" s="2"/>
      <c r="ALJ79" s="2"/>
      <c r="ALK79" s="2"/>
      <c r="ALL79" s="2"/>
      <c r="ALM79" s="2"/>
      <c r="ALN79" s="2"/>
      <c r="ALO79" s="2"/>
      <c r="ALP79" s="2"/>
      <c r="ALQ79" s="2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spans="1:1024">
      <c r="A80" s="5" t="s">
        <v>22</v>
      </c>
      <c r="B80" s="8">
        <v>90000</v>
      </c>
      <c r="C80" s="9"/>
      <c r="D80" s="9"/>
      <c r="E80" s="9"/>
      <c r="F80" s="9"/>
      <c r="G80" s="9"/>
      <c r="H80" s="9"/>
      <c r="I80" s="9">
        <f>B80</f>
        <v>90000</v>
      </c>
      <c r="J80" s="9"/>
      <c r="K80" s="9"/>
      <c r="L80" s="9"/>
      <c r="M80" s="9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  <c r="ACG80" s="2"/>
      <c r="ACH80" s="2"/>
      <c r="ACI80" s="2"/>
      <c r="ACJ80" s="2"/>
      <c r="ACK80" s="2"/>
      <c r="ACL80" s="2"/>
      <c r="ACM80" s="2"/>
      <c r="ACN80" s="2"/>
      <c r="ACO80" s="2"/>
      <c r="ACP80" s="2"/>
      <c r="ACQ80" s="2"/>
      <c r="ACR80" s="2"/>
      <c r="ACS80" s="2"/>
      <c r="ACT80" s="2"/>
      <c r="ACU80" s="2"/>
      <c r="ACV80" s="2"/>
      <c r="ACW80" s="2"/>
      <c r="ACX80" s="2"/>
      <c r="ACY80" s="2"/>
      <c r="ACZ80" s="2"/>
      <c r="ADA80" s="2"/>
      <c r="ADB80" s="2"/>
      <c r="ADC80" s="2"/>
      <c r="ADD80" s="2"/>
      <c r="ADE80" s="2"/>
      <c r="ADF80" s="2"/>
      <c r="ADG80" s="2"/>
      <c r="ADH80" s="2"/>
      <c r="ADI80" s="2"/>
      <c r="ADJ80" s="2"/>
      <c r="ADK80" s="2"/>
      <c r="ADL80" s="2"/>
      <c r="ADM80" s="2"/>
      <c r="ADN80" s="2"/>
      <c r="ADO80" s="2"/>
      <c r="ADP80" s="2"/>
      <c r="ADQ80" s="2"/>
      <c r="ADR80" s="2"/>
      <c r="ADS80" s="2"/>
      <c r="ADT80" s="2"/>
      <c r="ADU80" s="2"/>
      <c r="ADV80" s="2"/>
      <c r="ADW80" s="2"/>
      <c r="ADX80" s="2"/>
      <c r="ADY80" s="2"/>
      <c r="ADZ80" s="2"/>
      <c r="AEA80" s="2"/>
      <c r="AEB80" s="2"/>
      <c r="AEC80" s="2"/>
      <c r="AED80" s="2"/>
      <c r="AEE80" s="2"/>
      <c r="AEF80" s="2"/>
      <c r="AEG80" s="2"/>
      <c r="AEH80" s="2"/>
      <c r="AEI80" s="2"/>
      <c r="AEJ80" s="2"/>
      <c r="AEK80" s="2"/>
      <c r="AEL80" s="2"/>
      <c r="AEM80" s="2"/>
      <c r="AEN80" s="2"/>
      <c r="AEO80" s="2"/>
      <c r="AEP80" s="2"/>
      <c r="AEQ80" s="2"/>
      <c r="AER80" s="2"/>
      <c r="AES80" s="2"/>
      <c r="AET80" s="2"/>
      <c r="AEU80" s="2"/>
      <c r="AEV80" s="2"/>
      <c r="AEW80" s="2"/>
      <c r="AEX80" s="2"/>
      <c r="AEY80" s="2"/>
      <c r="AEZ80" s="2"/>
      <c r="AFA80" s="2"/>
      <c r="AFB80" s="2"/>
      <c r="AFC80" s="2"/>
      <c r="AFD80" s="2"/>
      <c r="AFE80" s="2"/>
      <c r="AFF80" s="2"/>
      <c r="AFG80" s="2"/>
      <c r="AFH80" s="2"/>
      <c r="AFI80" s="2"/>
      <c r="AFJ80" s="2"/>
      <c r="AFK80" s="2"/>
      <c r="AFL80" s="2"/>
      <c r="AFM80" s="2"/>
      <c r="AFN80" s="2"/>
      <c r="AFO80" s="2"/>
      <c r="AFP80" s="2"/>
      <c r="AFQ80" s="2"/>
      <c r="AFR80" s="2"/>
      <c r="AFS80" s="2"/>
      <c r="AFT80" s="2"/>
      <c r="AFU80" s="2"/>
      <c r="AFV80" s="2"/>
      <c r="AFW80" s="2"/>
      <c r="AFX80" s="2"/>
      <c r="AFY80" s="2"/>
      <c r="AFZ80" s="2"/>
      <c r="AGA80" s="2"/>
      <c r="AGB80" s="2"/>
      <c r="AGC80" s="2"/>
      <c r="AGD80" s="2"/>
      <c r="AGE80" s="2"/>
      <c r="AGF80" s="2"/>
      <c r="AGG80" s="2"/>
      <c r="AGH80" s="2"/>
      <c r="AGI80" s="2"/>
      <c r="AGJ80" s="2"/>
      <c r="AGK80" s="2"/>
      <c r="AGL80" s="2"/>
      <c r="AGM80" s="2"/>
      <c r="AGN80" s="2"/>
      <c r="AGO80" s="2"/>
      <c r="AGP80" s="2"/>
      <c r="AGQ80" s="2"/>
      <c r="AGR80" s="2"/>
      <c r="AGS80" s="2"/>
      <c r="AGT80" s="2"/>
      <c r="AGU80" s="2"/>
      <c r="AGV80" s="2"/>
      <c r="AGW80" s="2"/>
      <c r="AGX80" s="2"/>
      <c r="AGY80" s="2"/>
      <c r="AGZ80" s="2"/>
      <c r="AHA80" s="2"/>
      <c r="AHB80" s="2"/>
      <c r="AHC80" s="2"/>
      <c r="AHD80" s="2"/>
      <c r="AHE80" s="2"/>
      <c r="AHF80" s="2"/>
      <c r="AHG80" s="2"/>
      <c r="AHH80" s="2"/>
      <c r="AHI80" s="2"/>
      <c r="AHJ80" s="2"/>
      <c r="AHK80" s="2"/>
      <c r="AHL80" s="2"/>
      <c r="AHM80" s="2"/>
      <c r="AHN80" s="2"/>
      <c r="AHO80" s="2"/>
      <c r="AHP80" s="2"/>
      <c r="AHQ80" s="2"/>
      <c r="AHR80" s="2"/>
      <c r="AHS80" s="2"/>
      <c r="AHT80" s="2"/>
      <c r="AHU80" s="2"/>
      <c r="AHV80" s="2"/>
      <c r="AHW80" s="2"/>
      <c r="AHX80" s="2"/>
      <c r="AHY80" s="2"/>
      <c r="AHZ80" s="2"/>
      <c r="AIA80" s="2"/>
      <c r="AIB80" s="2"/>
      <c r="AIC80" s="2"/>
      <c r="AID80" s="2"/>
      <c r="AIE80" s="2"/>
      <c r="AIF80" s="2"/>
      <c r="AIG80" s="2"/>
      <c r="AIH80" s="2"/>
      <c r="AII80" s="2"/>
      <c r="AIJ80" s="2"/>
      <c r="AIK80" s="2"/>
      <c r="AIL80" s="2"/>
      <c r="AIM80" s="2"/>
      <c r="AIN80" s="2"/>
      <c r="AIO80" s="2"/>
      <c r="AIP80" s="2"/>
      <c r="AIQ80" s="2"/>
      <c r="AIR80" s="2"/>
      <c r="AIS80" s="2"/>
      <c r="AIT80" s="2"/>
      <c r="AIU80" s="2"/>
      <c r="AIV80" s="2"/>
      <c r="AIW80" s="2"/>
      <c r="AIX80" s="2"/>
      <c r="AIY80" s="2"/>
      <c r="AIZ80" s="2"/>
      <c r="AJA80" s="2"/>
      <c r="AJB80" s="2"/>
      <c r="AJC80" s="2"/>
      <c r="AJD80" s="2"/>
      <c r="AJE80" s="2"/>
      <c r="AJF80" s="2"/>
      <c r="AJG80" s="2"/>
      <c r="AJH80" s="2"/>
      <c r="AJI80" s="2"/>
      <c r="AJJ80" s="2"/>
      <c r="AJK80" s="2"/>
      <c r="AJL80" s="2"/>
      <c r="AJM80" s="2"/>
      <c r="AJN80" s="2"/>
      <c r="AJO80" s="2"/>
      <c r="AJP80" s="2"/>
      <c r="AJQ80" s="2"/>
      <c r="AJR80" s="2"/>
      <c r="AJS80" s="2"/>
      <c r="AJT80" s="2"/>
      <c r="AJU80" s="2"/>
      <c r="AJV80" s="2"/>
      <c r="AJW80" s="2"/>
      <c r="AJX80" s="2"/>
      <c r="AJY80" s="2"/>
      <c r="AJZ80" s="2"/>
      <c r="AKA80" s="2"/>
      <c r="AKB80" s="2"/>
      <c r="AKC80" s="2"/>
      <c r="AKD80" s="2"/>
      <c r="AKE80" s="2"/>
      <c r="AKF80" s="2"/>
      <c r="AKG80" s="2"/>
      <c r="AKH80" s="2"/>
      <c r="AKI80" s="2"/>
      <c r="AKJ80" s="2"/>
      <c r="AKK80" s="2"/>
      <c r="AKL80" s="2"/>
      <c r="AKM80" s="2"/>
      <c r="AKN80" s="2"/>
      <c r="AKO80" s="2"/>
      <c r="AKP80" s="2"/>
      <c r="AKQ80" s="2"/>
      <c r="AKR80" s="2"/>
      <c r="AKS80" s="2"/>
      <c r="AKT80" s="2"/>
      <c r="AKU80" s="2"/>
      <c r="AKV80" s="2"/>
      <c r="AKW80" s="2"/>
      <c r="AKX80" s="2"/>
      <c r="AKY80" s="2"/>
      <c r="AKZ80" s="2"/>
      <c r="ALA80" s="2"/>
      <c r="ALB80" s="2"/>
      <c r="ALC80" s="2"/>
      <c r="ALD80" s="2"/>
      <c r="ALE80" s="2"/>
      <c r="ALF80" s="2"/>
      <c r="ALG80" s="2"/>
      <c r="ALH80" s="2"/>
      <c r="ALI80" s="2"/>
      <c r="ALJ80" s="2"/>
      <c r="ALK80" s="2"/>
      <c r="ALL80" s="2"/>
      <c r="ALM80" s="2"/>
      <c r="ALN80" s="2"/>
      <c r="ALO80" s="2"/>
      <c r="ALP80" s="2"/>
      <c r="ALQ80" s="2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spans="1:1024">
      <c r="A81" s="5" t="s">
        <v>23</v>
      </c>
      <c r="B81" s="8">
        <v>30000</v>
      </c>
      <c r="C81" s="9"/>
      <c r="D81" s="9"/>
      <c r="E81" s="9"/>
      <c r="F81" s="9"/>
      <c r="G81" s="9"/>
      <c r="H81" s="9">
        <f>-B81</f>
        <v>-30000</v>
      </c>
      <c r="I81" s="9"/>
      <c r="J81" s="9"/>
      <c r="K81" s="9"/>
      <c r="L81" s="9"/>
      <c r="M81" s="9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  <c r="ACG81" s="2"/>
      <c r="ACH81" s="2"/>
      <c r="ACI81" s="2"/>
      <c r="ACJ81" s="2"/>
      <c r="ACK81" s="2"/>
      <c r="ACL81" s="2"/>
      <c r="ACM81" s="2"/>
      <c r="ACN81" s="2"/>
      <c r="ACO81" s="2"/>
      <c r="ACP81" s="2"/>
      <c r="ACQ81" s="2"/>
      <c r="ACR81" s="2"/>
      <c r="ACS81" s="2"/>
      <c r="ACT81" s="2"/>
      <c r="ACU81" s="2"/>
      <c r="ACV81" s="2"/>
      <c r="ACW81" s="2"/>
      <c r="ACX81" s="2"/>
      <c r="ACY81" s="2"/>
      <c r="ACZ81" s="2"/>
      <c r="ADA81" s="2"/>
      <c r="ADB81" s="2"/>
      <c r="ADC81" s="2"/>
      <c r="ADD81" s="2"/>
      <c r="ADE81" s="2"/>
      <c r="ADF81" s="2"/>
      <c r="ADG81" s="2"/>
      <c r="ADH81" s="2"/>
      <c r="ADI81" s="2"/>
      <c r="ADJ81" s="2"/>
      <c r="ADK81" s="2"/>
      <c r="ADL81" s="2"/>
      <c r="ADM81" s="2"/>
      <c r="ADN81" s="2"/>
      <c r="ADO81" s="2"/>
      <c r="ADP81" s="2"/>
      <c r="ADQ81" s="2"/>
      <c r="ADR81" s="2"/>
      <c r="ADS81" s="2"/>
      <c r="ADT81" s="2"/>
      <c r="ADU81" s="2"/>
      <c r="ADV81" s="2"/>
      <c r="ADW81" s="2"/>
      <c r="ADX81" s="2"/>
      <c r="ADY81" s="2"/>
      <c r="ADZ81" s="2"/>
      <c r="AEA81" s="2"/>
      <c r="AEB81" s="2"/>
      <c r="AEC81" s="2"/>
      <c r="AED81" s="2"/>
      <c r="AEE81" s="2"/>
      <c r="AEF81" s="2"/>
      <c r="AEG81" s="2"/>
      <c r="AEH81" s="2"/>
      <c r="AEI81" s="2"/>
      <c r="AEJ81" s="2"/>
      <c r="AEK81" s="2"/>
      <c r="AEL81" s="2"/>
      <c r="AEM81" s="2"/>
      <c r="AEN81" s="2"/>
      <c r="AEO81" s="2"/>
      <c r="AEP81" s="2"/>
      <c r="AEQ81" s="2"/>
      <c r="AER81" s="2"/>
      <c r="AES81" s="2"/>
      <c r="AET81" s="2"/>
      <c r="AEU81" s="2"/>
      <c r="AEV81" s="2"/>
      <c r="AEW81" s="2"/>
      <c r="AEX81" s="2"/>
      <c r="AEY81" s="2"/>
      <c r="AEZ81" s="2"/>
      <c r="AFA81" s="2"/>
      <c r="AFB81" s="2"/>
      <c r="AFC81" s="2"/>
      <c r="AFD81" s="2"/>
      <c r="AFE81" s="2"/>
      <c r="AFF81" s="2"/>
      <c r="AFG81" s="2"/>
      <c r="AFH81" s="2"/>
      <c r="AFI81" s="2"/>
      <c r="AFJ81" s="2"/>
      <c r="AFK81" s="2"/>
      <c r="AFL81" s="2"/>
      <c r="AFM81" s="2"/>
      <c r="AFN81" s="2"/>
      <c r="AFO81" s="2"/>
      <c r="AFP81" s="2"/>
      <c r="AFQ81" s="2"/>
      <c r="AFR81" s="2"/>
      <c r="AFS81" s="2"/>
      <c r="AFT81" s="2"/>
      <c r="AFU81" s="2"/>
      <c r="AFV81" s="2"/>
      <c r="AFW81" s="2"/>
      <c r="AFX81" s="2"/>
      <c r="AFY81" s="2"/>
      <c r="AFZ81" s="2"/>
      <c r="AGA81" s="2"/>
      <c r="AGB81" s="2"/>
      <c r="AGC81" s="2"/>
      <c r="AGD81" s="2"/>
      <c r="AGE81" s="2"/>
      <c r="AGF81" s="2"/>
      <c r="AGG81" s="2"/>
      <c r="AGH81" s="2"/>
      <c r="AGI81" s="2"/>
      <c r="AGJ81" s="2"/>
      <c r="AGK81" s="2"/>
      <c r="AGL81" s="2"/>
      <c r="AGM81" s="2"/>
      <c r="AGN81" s="2"/>
      <c r="AGO81" s="2"/>
      <c r="AGP81" s="2"/>
      <c r="AGQ81" s="2"/>
      <c r="AGR81" s="2"/>
      <c r="AGS81" s="2"/>
      <c r="AGT81" s="2"/>
      <c r="AGU81" s="2"/>
      <c r="AGV81" s="2"/>
      <c r="AGW81" s="2"/>
      <c r="AGX81" s="2"/>
      <c r="AGY81" s="2"/>
      <c r="AGZ81" s="2"/>
      <c r="AHA81" s="2"/>
      <c r="AHB81" s="2"/>
      <c r="AHC81" s="2"/>
      <c r="AHD81" s="2"/>
      <c r="AHE81" s="2"/>
      <c r="AHF81" s="2"/>
      <c r="AHG81" s="2"/>
      <c r="AHH81" s="2"/>
      <c r="AHI81" s="2"/>
      <c r="AHJ81" s="2"/>
      <c r="AHK81" s="2"/>
      <c r="AHL81" s="2"/>
      <c r="AHM81" s="2"/>
      <c r="AHN81" s="2"/>
      <c r="AHO81" s="2"/>
      <c r="AHP81" s="2"/>
      <c r="AHQ81" s="2"/>
      <c r="AHR81" s="2"/>
      <c r="AHS81" s="2"/>
      <c r="AHT81" s="2"/>
      <c r="AHU81" s="2"/>
      <c r="AHV81" s="2"/>
      <c r="AHW81" s="2"/>
      <c r="AHX81" s="2"/>
      <c r="AHY81" s="2"/>
      <c r="AHZ81" s="2"/>
      <c r="AIA81" s="2"/>
      <c r="AIB81" s="2"/>
      <c r="AIC81" s="2"/>
      <c r="AID81" s="2"/>
      <c r="AIE81" s="2"/>
      <c r="AIF81" s="2"/>
      <c r="AIG81" s="2"/>
      <c r="AIH81" s="2"/>
      <c r="AII81" s="2"/>
      <c r="AIJ81" s="2"/>
      <c r="AIK81" s="2"/>
      <c r="AIL81" s="2"/>
      <c r="AIM81" s="2"/>
      <c r="AIN81" s="2"/>
      <c r="AIO81" s="2"/>
      <c r="AIP81" s="2"/>
      <c r="AIQ81" s="2"/>
      <c r="AIR81" s="2"/>
      <c r="AIS81" s="2"/>
      <c r="AIT81" s="2"/>
      <c r="AIU81" s="2"/>
      <c r="AIV81" s="2"/>
      <c r="AIW81" s="2"/>
      <c r="AIX81" s="2"/>
      <c r="AIY81" s="2"/>
      <c r="AIZ81" s="2"/>
      <c r="AJA81" s="2"/>
      <c r="AJB81" s="2"/>
      <c r="AJC81" s="2"/>
      <c r="AJD81" s="2"/>
      <c r="AJE81" s="2"/>
      <c r="AJF81" s="2"/>
      <c r="AJG81" s="2"/>
      <c r="AJH81" s="2"/>
      <c r="AJI81" s="2"/>
      <c r="AJJ81" s="2"/>
      <c r="AJK81" s="2"/>
      <c r="AJL81" s="2"/>
      <c r="AJM81" s="2"/>
      <c r="AJN81" s="2"/>
      <c r="AJO81" s="2"/>
      <c r="AJP81" s="2"/>
      <c r="AJQ81" s="2"/>
      <c r="AJR81" s="2"/>
      <c r="AJS81" s="2"/>
      <c r="AJT81" s="2"/>
      <c r="AJU81" s="2"/>
      <c r="AJV81" s="2"/>
      <c r="AJW81" s="2"/>
      <c r="AJX81" s="2"/>
      <c r="AJY81" s="2"/>
      <c r="AJZ81" s="2"/>
      <c r="AKA81" s="2"/>
      <c r="AKB81" s="2"/>
      <c r="AKC81" s="2"/>
      <c r="AKD81" s="2"/>
      <c r="AKE81" s="2"/>
      <c r="AKF81" s="2"/>
      <c r="AKG81" s="2"/>
      <c r="AKH81" s="2"/>
      <c r="AKI81" s="2"/>
      <c r="AKJ81" s="2"/>
      <c r="AKK81" s="2"/>
      <c r="AKL81" s="2"/>
      <c r="AKM81" s="2"/>
      <c r="AKN81" s="2"/>
      <c r="AKO81" s="2"/>
      <c r="AKP81" s="2"/>
      <c r="AKQ81" s="2"/>
      <c r="AKR81" s="2"/>
      <c r="AKS81" s="2"/>
      <c r="AKT81" s="2"/>
      <c r="AKU81" s="2"/>
      <c r="AKV81" s="2"/>
      <c r="AKW81" s="2"/>
      <c r="AKX81" s="2"/>
      <c r="AKY81" s="2"/>
      <c r="AKZ81" s="2"/>
      <c r="ALA81" s="2"/>
      <c r="ALB81" s="2"/>
      <c r="ALC81" s="2"/>
      <c r="ALD81" s="2"/>
      <c r="ALE81" s="2"/>
      <c r="ALF81" s="2"/>
      <c r="ALG81" s="2"/>
      <c r="ALH81" s="2"/>
      <c r="ALI81" s="2"/>
      <c r="ALJ81" s="2"/>
      <c r="ALK81" s="2"/>
      <c r="ALL81" s="2"/>
      <c r="ALM81" s="2"/>
      <c r="ALN81" s="2"/>
      <c r="ALO81" s="2"/>
      <c r="ALP81" s="2"/>
      <c r="ALQ81" s="2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spans="1:1024">
      <c r="A82" s="5" t="s">
        <v>24</v>
      </c>
      <c r="B82" s="8">
        <v>25000</v>
      </c>
      <c r="C82" s="9"/>
      <c r="D82" s="9"/>
      <c r="E82" s="9"/>
      <c r="F82" s="9">
        <f>B82</f>
        <v>25000</v>
      </c>
      <c r="G82" s="9"/>
      <c r="H82" s="9"/>
      <c r="I82" s="9"/>
      <c r="J82" s="9"/>
      <c r="K82" s="9"/>
      <c r="L82" s="9"/>
      <c r="M82" s="9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  <c r="ACG82" s="2"/>
      <c r="ACH82" s="2"/>
      <c r="ACI82" s="2"/>
      <c r="ACJ82" s="2"/>
      <c r="ACK82" s="2"/>
      <c r="ACL82" s="2"/>
      <c r="ACM82" s="2"/>
      <c r="ACN82" s="2"/>
      <c r="ACO82" s="2"/>
      <c r="ACP82" s="2"/>
      <c r="ACQ82" s="2"/>
      <c r="ACR82" s="2"/>
      <c r="ACS82" s="2"/>
      <c r="ACT82" s="2"/>
      <c r="ACU82" s="2"/>
      <c r="ACV82" s="2"/>
      <c r="ACW82" s="2"/>
      <c r="ACX82" s="2"/>
      <c r="ACY82" s="2"/>
      <c r="ACZ82" s="2"/>
      <c r="ADA82" s="2"/>
      <c r="ADB82" s="2"/>
      <c r="ADC82" s="2"/>
      <c r="ADD82" s="2"/>
      <c r="ADE82" s="2"/>
      <c r="ADF82" s="2"/>
      <c r="ADG82" s="2"/>
      <c r="ADH82" s="2"/>
      <c r="ADI82" s="2"/>
      <c r="ADJ82" s="2"/>
      <c r="ADK82" s="2"/>
      <c r="ADL82" s="2"/>
      <c r="ADM82" s="2"/>
      <c r="ADN82" s="2"/>
      <c r="ADO82" s="2"/>
      <c r="ADP82" s="2"/>
      <c r="ADQ82" s="2"/>
      <c r="ADR82" s="2"/>
      <c r="ADS82" s="2"/>
      <c r="ADT82" s="2"/>
      <c r="ADU82" s="2"/>
      <c r="ADV82" s="2"/>
      <c r="ADW82" s="2"/>
      <c r="ADX82" s="2"/>
      <c r="ADY82" s="2"/>
      <c r="ADZ82" s="2"/>
      <c r="AEA82" s="2"/>
      <c r="AEB82" s="2"/>
      <c r="AEC82" s="2"/>
      <c r="AED82" s="2"/>
      <c r="AEE82" s="2"/>
      <c r="AEF82" s="2"/>
      <c r="AEG82" s="2"/>
      <c r="AEH82" s="2"/>
      <c r="AEI82" s="2"/>
      <c r="AEJ82" s="2"/>
      <c r="AEK82" s="2"/>
      <c r="AEL82" s="2"/>
      <c r="AEM82" s="2"/>
      <c r="AEN82" s="2"/>
      <c r="AEO82" s="2"/>
      <c r="AEP82" s="2"/>
      <c r="AEQ82" s="2"/>
      <c r="AER82" s="2"/>
      <c r="AES82" s="2"/>
      <c r="AET82" s="2"/>
      <c r="AEU82" s="2"/>
      <c r="AEV82" s="2"/>
      <c r="AEW82" s="2"/>
      <c r="AEX82" s="2"/>
      <c r="AEY82" s="2"/>
      <c r="AEZ82" s="2"/>
      <c r="AFA82" s="2"/>
      <c r="AFB82" s="2"/>
      <c r="AFC82" s="2"/>
      <c r="AFD82" s="2"/>
      <c r="AFE82" s="2"/>
      <c r="AFF82" s="2"/>
      <c r="AFG82" s="2"/>
      <c r="AFH82" s="2"/>
      <c r="AFI82" s="2"/>
      <c r="AFJ82" s="2"/>
      <c r="AFK82" s="2"/>
      <c r="AFL82" s="2"/>
      <c r="AFM82" s="2"/>
      <c r="AFN82" s="2"/>
      <c r="AFO82" s="2"/>
      <c r="AFP82" s="2"/>
      <c r="AFQ82" s="2"/>
      <c r="AFR82" s="2"/>
      <c r="AFS82" s="2"/>
      <c r="AFT82" s="2"/>
      <c r="AFU82" s="2"/>
      <c r="AFV82" s="2"/>
      <c r="AFW82" s="2"/>
      <c r="AFX82" s="2"/>
      <c r="AFY82" s="2"/>
      <c r="AFZ82" s="2"/>
      <c r="AGA82" s="2"/>
      <c r="AGB82" s="2"/>
      <c r="AGC82" s="2"/>
      <c r="AGD82" s="2"/>
      <c r="AGE82" s="2"/>
      <c r="AGF82" s="2"/>
      <c r="AGG82" s="2"/>
      <c r="AGH82" s="2"/>
      <c r="AGI82" s="2"/>
      <c r="AGJ82" s="2"/>
      <c r="AGK82" s="2"/>
      <c r="AGL82" s="2"/>
      <c r="AGM82" s="2"/>
      <c r="AGN82" s="2"/>
      <c r="AGO82" s="2"/>
      <c r="AGP82" s="2"/>
      <c r="AGQ82" s="2"/>
      <c r="AGR82" s="2"/>
      <c r="AGS82" s="2"/>
      <c r="AGT82" s="2"/>
      <c r="AGU82" s="2"/>
      <c r="AGV82" s="2"/>
      <c r="AGW82" s="2"/>
      <c r="AGX82" s="2"/>
      <c r="AGY82" s="2"/>
      <c r="AGZ82" s="2"/>
      <c r="AHA82" s="2"/>
      <c r="AHB82" s="2"/>
      <c r="AHC82" s="2"/>
      <c r="AHD82" s="2"/>
      <c r="AHE82" s="2"/>
      <c r="AHF82" s="2"/>
      <c r="AHG82" s="2"/>
      <c r="AHH82" s="2"/>
      <c r="AHI82" s="2"/>
      <c r="AHJ82" s="2"/>
      <c r="AHK82" s="2"/>
      <c r="AHL82" s="2"/>
      <c r="AHM82" s="2"/>
      <c r="AHN82" s="2"/>
      <c r="AHO82" s="2"/>
      <c r="AHP82" s="2"/>
      <c r="AHQ82" s="2"/>
      <c r="AHR82" s="2"/>
      <c r="AHS82" s="2"/>
      <c r="AHT82" s="2"/>
      <c r="AHU82" s="2"/>
      <c r="AHV82" s="2"/>
      <c r="AHW82" s="2"/>
      <c r="AHX82" s="2"/>
      <c r="AHY82" s="2"/>
      <c r="AHZ82" s="2"/>
      <c r="AIA82" s="2"/>
      <c r="AIB82" s="2"/>
      <c r="AIC82" s="2"/>
      <c r="AID82" s="2"/>
      <c r="AIE82" s="2"/>
      <c r="AIF82" s="2"/>
      <c r="AIG82" s="2"/>
      <c r="AIH82" s="2"/>
      <c r="AII82" s="2"/>
      <c r="AIJ82" s="2"/>
      <c r="AIK82" s="2"/>
      <c r="AIL82" s="2"/>
      <c r="AIM82" s="2"/>
      <c r="AIN82" s="2"/>
      <c r="AIO82" s="2"/>
      <c r="AIP82" s="2"/>
      <c r="AIQ82" s="2"/>
      <c r="AIR82" s="2"/>
      <c r="AIS82" s="2"/>
      <c r="AIT82" s="2"/>
      <c r="AIU82" s="2"/>
      <c r="AIV82" s="2"/>
      <c r="AIW82" s="2"/>
      <c r="AIX82" s="2"/>
      <c r="AIY82" s="2"/>
      <c r="AIZ82" s="2"/>
      <c r="AJA82" s="2"/>
      <c r="AJB82" s="2"/>
      <c r="AJC82" s="2"/>
      <c r="AJD82" s="2"/>
      <c r="AJE82" s="2"/>
      <c r="AJF82" s="2"/>
      <c r="AJG82" s="2"/>
      <c r="AJH82" s="2"/>
      <c r="AJI82" s="2"/>
      <c r="AJJ82" s="2"/>
      <c r="AJK82" s="2"/>
      <c r="AJL82" s="2"/>
      <c r="AJM82" s="2"/>
      <c r="AJN82" s="2"/>
      <c r="AJO82" s="2"/>
      <c r="AJP82" s="2"/>
      <c r="AJQ82" s="2"/>
      <c r="AJR82" s="2"/>
      <c r="AJS82" s="2"/>
      <c r="AJT82" s="2"/>
      <c r="AJU82" s="2"/>
      <c r="AJV82" s="2"/>
      <c r="AJW82" s="2"/>
      <c r="AJX82" s="2"/>
      <c r="AJY82" s="2"/>
      <c r="AJZ82" s="2"/>
      <c r="AKA82" s="2"/>
      <c r="AKB82" s="2"/>
      <c r="AKC82" s="2"/>
      <c r="AKD82" s="2"/>
      <c r="AKE82" s="2"/>
      <c r="AKF82" s="2"/>
      <c r="AKG82" s="2"/>
      <c r="AKH82" s="2"/>
      <c r="AKI82" s="2"/>
      <c r="AKJ82" s="2"/>
      <c r="AKK82" s="2"/>
      <c r="AKL82" s="2"/>
      <c r="AKM82" s="2"/>
      <c r="AKN82" s="2"/>
      <c r="AKO82" s="2"/>
      <c r="AKP82" s="2"/>
      <c r="AKQ82" s="2"/>
      <c r="AKR82" s="2"/>
      <c r="AKS82" s="2"/>
      <c r="AKT82" s="2"/>
      <c r="AKU82" s="2"/>
      <c r="AKV82" s="2"/>
      <c r="AKW82" s="2"/>
      <c r="AKX82" s="2"/>
      <c r="AKY82" s="2"/>
      <c r="AKZ82" s="2"/>
      <c r="ALA82" s="2"/>
      <c r="ALB82" s="2"/>
      <c r="ALC82" s="2"/>
      <c r="ALD82" s="2"/>
      <c r="ALE82" s="2"/>
      <c r="ALF82" s="2"/>
      <c r="ALG82" s="2"/>
      <c r="ALH82" s="2"/>
      <c r="ALI82" s="2"/>
      <c r="ALJ82" s="2"/>
      <c r="ALK82" s="2"/>
      <c r="ALL82" s="2"/>
      <c r="ALM82" s="2"/>
      <c r="ALN82" s="2"/>
      <c r="ALO82" s="2"/>
      <c r="ALP82" s="2"/>
      <c r="ALQ82" s="2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spans="1:1024">
      <c r="A83" s="16" t="s">
        <v>25</v>
      </c>
      <c r="B83" s="13">
        <v>10000</v>
      </c>
      <c r="C83" s="9"/>
      <c r="D83" s="9"/>
      <c r="E83" s="9"/>
      <c r="F83" s="9"/>
      <c r="G83" s="9"/>
      <c r="H83" s="9"/>
      <c r="I83" s="9"/>
      <c r="J83" s="9"/>
      <c r="K83" s="9"/>
      <c r="L83" s="15">
        <f>B83+D48</f>
        <v>15000</v>
      </c>
      <c r="M83" s="9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  <c r="ACG83" s="2"/>
      <c r="ACH83" s="2"/>
      <c r="ACI83" s="2"/>
      <c r="ACJ83" s="2"/>
      <c r="ACK83" s="2"/>
      <c r="ACL83" s="2"/>
      <c r="ACM83" s="2"/>
      <c r="ACN83" s="2"/>
      <c r="ACO83" s="2"/>
      <c r="ACP83" s="2"/>
      <c r="ACQ83" s="2"/>
      <c r="ACR83" s="2"/>
      <c r="ACS83" s="2"/>
      <c r="ACT83" s="2"/>
      <c r="ACU83" s="2"/>
      <c r="ACV83" s="2"/>
      <c r="ACW83" s="2"/>
      <c r="ACX83" s="2"/>
      <c r="ACY83" s="2"/>
      <c r="ACZ83" s="2"/>
      <c r="ADA83" s="2"/>
      <c r="ADB83" s="2"/>
      <c r="ADC83" s="2"/>
      <c r="ADD83" s="2"/>
      <c r="ADE83" s="2"/>
      <c r="ADF83" s="2"/>
      <c r="ADG83" s="2"/>
      <c r="ADH83" s="2"/>
      <c r="ADI83" s="2"/>
      <c r="ADJ83" s="2"/>
      <c r="ADK83" s="2"/>
      <c r="ADL83" s="2"/>
      <c r="ADM83" s="2"/>
      <c r="ADN83" s="2"/>
      <c r="ADO83" s="2"/>
      <c r="ADP83" s="2"/>
      <c r="ADQ83" s="2"/>
      <c r="ADR83" s="2"/>
      <c r="ADS83" s="2"/>
      <c r="ADT83" s="2"/>
      <c r="ADU83" s="2"/>
      <c r="ADV83" s="2"/>
      <c r="ADW83" s="2"/>
      <c r="ADX83" s="2"/>
      <c r="ADY83" s="2"/>
      <c r="ADZ83" s="2"/>
      <c r="AEA83" s="2"/>
      <c r="AEB83" s="2"/>
      <c r="AEC83" s="2"/>
      <c r="AED83" s="2"/>
      <c r="AEE83" s="2"/>
      <c r="AEF83" s="2"/>
      <c r="AEG83" s="2"/>
      <c r="AEH83" s="2"/>
      <c r="AEI83" s="2"/>
      <c r="AEJ83" s="2"/>
      <c r="AEK83" s="2"/>
      <c r="AEL83" s="2"/>
      <c r="AEM83" s="2"/>
      <c r="AEN83" s="2"/>
      <c r="AEO83" s="2"/>
      <c r="AEP83" s="2"/>
      <c r="AEQ83" s="2"/>
      <c r="AER83" s="2"/>
      <c r="AES83" s="2"/>
      <c r="AET83" s="2"/>
      <c r="AEU83" s="2"/>
      <c r="AEV83" s="2"/>
      <c r="AEW83" s="2"/>
      <c r="AEX83" s="2"/>
      <c r="AEY83" s="2"/>
      <c r="AEZ83" s="2"/>
      <c r="AFA83" s="2"/>
      <c r="AFB83" s="2"/>
      <c r="AFC83" s="2"/>
      <c r="AFD83" s="2"/>
      <c r="AFE83" s="2"/>
      <c r="AFF83" s="2"/>
      <c r="AFG83" s="2"/>
      <c r="AFH83" s="2"/>
      <c r="AFI83" s="2"/>
      <c r="AFJ83" s="2"/>
      <c r="AFK83" s="2"/>
      <c r="AFL83" s="2"/>
      <c r="AFM83" s="2"/>
      <c r="AFN83" s="2"/>
      <c r="AFO83" s="2"/>
      <c r="AFP83" s="2"/>
      <c r="AFQ83" s="2"/>
      <c r="AFR83" s="2"/>
      <c r="AFS83" s="2"/>
      <c r="AFT83" s="2"/>
      <c r="AFU83" s="2"/>
      <c r="AFV83" s="2"/>
      <c r="AFW83" s="2"/>
      <c r="AFX83" s="2"/>
      <c r="AFY83" s="2"/>
      <c r="AFZ83" s="2"/>
      <c r="AGA83" s="2"/>
      <c r="AGB83" s="2"/>
      <c r="AGC83" s="2"/>
      <c r="AGD83" s="2"/>
      <c r="AGE83" s="2"/>
      <c r="AGF83" s="2"/>
      <c r="AGG83" s="2"/>
      <c r="AGH83" s="2"/>
      <c r="AGI83" s="2"/>
      <c r="AGJ83" s="2"/>
      <c r="AGK83" s="2"/>
      <c r="AGL83" s="2"/>
      <c r="AGM83" s="2"/>
      <c r="AGN83" s="2"/>
      <c r="AGO83" s="2"/>
      <c r="AGP83" s="2"/>
      <c r="AGQ83" s="2"/>
      <c r="AGR83" s="2"/>
      <c r="AGS83" s="2"/>
      <c r="AGT83" s="2"/>
      <c r="AGU83" s="2"/>
      <c r="AGV83" s="2"/>
      <c r="AGW83" s="2"/>
      <c r="AGX83" s="2"/>
      <c r="AGY83" s="2"/>
      <c r="AGZ83" s="2"/>
      <c r="AHA83" s="2"/>
      <c r="AHB83" s="2"/>
      <c r="AHC83" s="2"/>
      <c r="AHD83" s="2"/>
      <c r="AHE83" s="2"/>
      <c r="AHF83" s="2"/>
      <c r="AHG83" s="2"/>
      <c r="AHH83" s="2"/>
      <c r="AHI83" s="2"/>
      <c r="AHJ83" s="2"/>
      <c r="AHK83" s="2"/>
      <c r="AHL83" s="2"/>
      <c r="AHM83" s="2"/>
      <c r="AHN83" s="2"/>
      <c r="AHO83" s="2"/>
      <c r="AHP83" s="2"/>
      <c r="AHQ83" s="2"/>
      <c r="AHR83" s="2"/>
      <c r="AHS83" s="2"/>
      <c r="AHT83" s="2"/>
      <c r="AHU83" s="2"/>
      <c r="AHV83" s="2"/>
      <c r="AHW83" s="2"/>
      <c r="AHX83" s="2"/>
      <c r="AHY83" s="2"/>
      <c r="AHZ83" s="2"/>
      <c r="AIA83" s="2"/>
      <c r="AIB83" s="2"/>
      <c r="AIC83" s="2"/>
      <c r="AID83" s="2"/>
      <c r="AIE83" s="2"/>
      <c r="AIF83" s="2"/>
      <c r="AIG83" s="2"/>
      <c r="AIH83" s="2"/>
      <c r="AII83" s="2"/>
      <c r="AIJ83" s="2"/>
      <c r="AIK83" s="2"/>
      <c r="AIL83" s="2"/>
      <c r="AIM83" s="2"/>
      <c r="AIN83" s="2"/>
      <c r="AIO83" s="2"/>
      <c r="AIP83" s="2"/>
      <c r="AIQ83" s="2"/>
      <c r="AIR83" s="2"/>
      <c r="AIS83" s="2"/>
      <c r="AIT83" s="2"/>
      <c r="AIU83" s="2"/>
      <c r="AIV83" s="2"/>
      <c r="AIW83" s="2"/>
      <c r="AIX83" s="2"/>
      <c r="AIY83" s="2"/>
      <c r="AIZ83" s="2"/>
      <c r="AJA83" s="2"/>
      <c r="AJB83" s="2"/>
      <c r="AJC83" s="2"/>
      <c r="AJD83" s="2"/>
      <c r="AJE83" s="2"/>
      <c r="AJF83" s="2"/>
      <c r="AJG83" s="2"/>
      <c r="AJH83" s="2"/>
      <c r="AJI83" s="2"/>
      <c r="AJJ83" s="2"/>
      <c r="AJK83" s="2"/>
      <c r="AJL83" s="2"/>
      <c r="AJM83" s="2"/>
      <c r="AJN83" s="2"/>
      <c r="AJO83" s="2"/>
      <c r="AJP83" s="2"/>
      <c r="AJQ83" s="2"/>
      <c r="AJR83" s="2"/>
      <c r="AJS83" s="2"/>
      <c r="AJT83" s="2"/>
      <c r="AJU83" s="2"/>
      <c r="AJV83" s="2"/>
      <c r="AJW83" s="2"/>
      <c r="AJX83" s="2"/>
      <c r="AJY83" s="2"/>
      <c r="AJZ83" s="2"/>
      <c r="AKA83" s="2"/>
      <c r="AKB83" s="2"/>
      <c r="AKC83" s="2"/>
      <c r="AKD83" s="2"/>
      <c r="AKE83" s="2"/>
      <c r="AKF83" s="2"/>
      <c r="AKG83" s="2"/>
      <c r="AKH83" s="2"/>
      <c r="AKI83" s="2"/>
      <c r="AKJ83" s="2"/>
      <c r="AKK83" s="2"/>
      <c r="AKL83" s="2"/>
      <c r="AKM83" s="2"/>
      <c r="AKN83" s="2"/>
      <c r="AKO83" s="2"/>
      <c r="AKP83" s="2"/>
      <c r="AKQ83" s="2"/>
      <c r="AKR83" s="2"/>
      <c r="AKS83" s="2"/>
      <c r="AKT83" s="2"/>
      <c r="AKU83" s="2"/>
      <c r="AKV83" s="2"/>
      <c r="AKW83" s="2"/>
      <c r="AKX83" s="2"/>
      <c r="AKY83" s="2"/>
      <c r="AKZ83" s="2"/>
      <c r="ALA83" s="2"/>
      <c r="ALB83" s="2"/>
      <c r="ALC83" s="2"/>
      <c r="ALD83" s="2"/>
      <c r="ALE83" s="2"/>
      <c r="ALF83" s="2"/>
      <c r="ALG83" s="2"/>
      <c r="ALH83" s="2"/>
      <c r="ALI83" s="2"/>
      <c r="ALJ83" s="2"/>
      <c r="ALK83" s="2"/>
      <c r="ALL83" s="2"/>
      <c r="ALM83" s="2"/>
      <c r="ALN83" s="2"/>
      <c r="ALO83" s="2"/>
      <c r="ALP83" s="2"/>
      <c r="ALQ83" s="2"/>
      <c r="ALR83" s="2"/>
      <c r="ALS83" s="2"/>
      <c r="ALT83" s="2"/>
      <c r="ALU83" s="2"/>
      <c r="ALV83" s="2"/>
      <c r="ALW83" s="2"/>
      <c r="ALX83" s="2"/>
      <c r="ALY83" s="2"/>
      <c r="ALZ83" s="2"/>
      <c r="AMA83" s="2"/>
      <c r="AMB83" s="2"/>
      <c r="AMC83" s="2"/>
      <c r="AMD83" s="2"/>
      <c r="AME83" s="2"/>
      <c r="AMF83" s="2"/>
      <c r="AMG83" s="2"/>
      <c r="AMH83" s="2"/>
      <c r="AMI83" s="2"/>
      <c r="AMJ83" s="2"/>
    </row>
    <row r="84" spans="1:1024">
      <c r="A84" s="5" t="s">
        <v>26</v>
      </c>
      <c r="B84" s="8">
        <v>50000</v>
      </c>
      <c r="C84" s="9"/>
      <c r="D84" s="9"/>
      <c r="E84" s="9">
        <f>B84</f>
        <v>50000</v>
      </c>
      <c r="F84" s="9"/>
      <c r="G84" s="9"/>
      <c r="H84" s="9"/>
      <c r="I84" s="9"/>
      <c r="J84" s="9"/>
      <c r="K84" s="9"/>
      <c r="L84" s="9"/>
      <c r="M84" s="9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  <c r="ACG84" s="2"/>
      <c r="ACH84" s="2"/>
      <c r="ACI84" s="2"/>
      <c r="ACJ84" s="2"/>
      <c r="ACK84" s="2"/>
      <c r="ACL84" s="2"/>
      <c r="ACM84" s="2"/>
      <c r="ACN84" s="2"/>
      <c r="ACO84" s="2"/>
      <c r="ACP84" s="2"/>
      <c r="ACQ84" s="2"/>
      <c r="ACR84" s="2"/>
      <c r="ACS84" s="2"/>
      <c r="ACT84" s="2"/>
      <c r="ACU84" s="2"/>
      <c r="ACV84" s="2"/>
      <c r="ACW84" s="2"/>
      <c r="ACX84" s="2"/>
      <c r="ACY84" s="2"/>
      <c r="ACZ84" s="2"/>
      <c r="ADA84" s="2"/>
      <c r="ADB84" s="2"/>
      <c r="ADC84" s="2"/>
      <c r="ADD84" s="2"/>
      <c r="ADE84" s="2"/>
      <c r="ADF84" s="2"/>
      <c r="ADG84" s="2"/>
      <c r="ADH84" s="2"/>
      <c r="ADI84" s="2"/>
      <c r="ADJ84" s="2"/>
      <c r="ADK84" s="2"/>
      <c r="ADL84" s="2"/>
      <c r="ADM84" s="2"/>
      <c r="ADN84" s="2"/>
      <c r="ADO84" s="2"/>
      <c r="ADP84" s="2"/>
      <c r="ADQ84" s="2"/>
      <c r="ADR84" s="2"/>
      <c r="ADS84" s="2"/>
      <c r="ADT84" s="2"/>
      <c r="ADU84" s="2"/>
      <c r="ADV84" s="2"/>
      <c r="ADW84" s="2"/>
      <c r="ADX84" s="2"/>
      <c r="ADY84" s="2"/>
      <c r="ADZ84" s="2"/>
      <c r="AEA84" s="2"/>
      <c r="AEB84" s="2"/>
      <c r="AEC84" s="2"/>
      <c r="AED84" s="2"/>
      <c r="AEE84" s="2"/>
      <c r="AEF84" s="2"/>
      <c r="AEG84" s="2"/>
      <c r="AEH84" s="2"/>
      <c r="AEI84" s="2"/>
      <c r="AEJ84" s="2"/>
      <c r="AEK84" s="2"/>
      <c r="AEL84" s="2"/>
      <c r="AEM84" s="2"/>
      <c r="AEN84" s="2"/>
      <c r="AEO84" s="2"/>
      <c r="AEP84" s="2"/>
      <c r="AEQ84" s="2"/>
      <c r="AER84" s="2"/>
      <c r="AES84" s="2"/>
      <c r="AET84" s="2"/>
      <c r="AEU84" s="2"/>
      <c r="AEV84" s="2"/>
      <c r="AEW84" s="2"/>
      <c r="AEX84" s="2"/>
      <c r="AEY84" s="2"/>
      <c r="AEZ84" s="2"/>
      <c r="AFA84" s="2"/>
      <c r="AFB84" s="2"/>
      <c r="AFC84" s="2"/>
      <c r="AFD84" s="2"/>
      <c r="AFE84" s="2"/>
      <c r="AFF84" s="2"/>
      <c r="AFG84" s="2"/>
      <c r="AFH84" s="2"/>
      <c r="AFI84" s="2"/>
      <c r="AFJ84" s="2"/>
      <c r="AFK84" s="2"/>
      <c r="AFL84" s="2"/>
      <c r="AFM84" s="2"/>
      <c r="AFN84" s="2"/>
      <c r="AFO84" s="2"/>
      <c r="AFP84" s="2"/>
      <c r="AFQ84" s="2"/>
      <c r="AFR84" s="2"/>
      <c r="AFS84" s="2"/>
      <c r="AFT84" s="2"/>
      <c r="AFU84" s="2"/>
      <c r="AFV84" s="2"/>
      <c r="AFW84" s="2"/>
      <c r="AFX84" s="2"/>
      <c r="AFY84" s="2"/>
      <c r="AFZ84" s="2"/>
      <c r="AGA84" s="2"/>
      <c r="AGB84" s="2"/>
      <c r="AGC84" s="2"/>
      <c r="AGD84" s="2"/>
      <c r="AGE84" s="2"/>
      <c r="AGF84" s="2"/>
      <c r="AGG84" s="2"/>
      <c r="AGH84" s="2"/>
      <c r="AGI84" s="2"/>
      <c r="AGJ84" s="2"/>
      <c r="AGK84" s="2"/>
      <c r="AGL84" s="2"/>
      <c r="AGM84" s="2"/>
      <c r="AGN84" s="2"/>
      <c r="AGO84" s="2"/>
      <c r="AGP84" s="2"/>
      <c r="AGQ84" s="2"/>
      <c r="AGR84" s="2"/>
      <c r="AGS84" s="2"/>
      <c r="AGT84" s="2"/>
      <c r="AGU84" s="2"/>
      <c r="AGV84" s="2"/>
      <c r="AGW84" s="2"/>
      <c r="AGX84" s="2"/>
      <c r="AGY84" s="2"/>
      <c r="AGZ84" s="2"/>
      <c r="AHA84" s="2"/>
      <c r="AHB84" s="2"/>
      <c r="AHC84" s="2"/>
      <c r="AHD84" s="2"/>
      <c r="AHE84" s="2"/>
      <c r="AHF84" s="2"/>
      <c r="AHG84" s="2"/>
      <c r="AHH84" s="2"/>
      <c r="AHI84" s="2"/>
      <c r="AHJ84" s="2"/>
      <c r="AHK84" s="2"/>
      <c r="AHL84" s="2"/>
      <c r="AHM84" s="2"/>
      <c r="AHN84" s="2"/>
      <c r="AHO84" s="2"/>
      <c r="AHP84" s="2"/>
      <c r="AHQ84" s="2"/>
      <c r="AHR84" s="2"/>
      <c r="AHS84" s="2"/>
      <c r="AHT84" s="2"/>
      <c r="AHU84" s="2"/>
      <c r="AHV84" s="2"/>
      <c r="AHW84" s="2"/>
      <c r="AHX84" s="2"/>
      <c r="AHY84" s="2"/>
      <c r="AHZ84" s="2"/>
      <c r="AIA84" s="2"/>
      <c r="AIB84" s="2"/>
      <c r="AIC84" s="2"/>
      <c r="AID84" s="2"/>
      <c r="AIE84" s="2"/>
      <c r="AIF84" s="2"/>
      <c r="AIG84" s="2"/>
      <c r="AIH84" s="2"/>
      <c r="AII84" s="2"/>
      <c r="AIJ84" s="2"/>
      <c r="AIK84" s="2"/>
      <c r="AIL84" s="2"/>
      <c r="AIM84" s="2"/>
      <c r="AIN84" s="2"/>
      <c r="AIO84" s="2"/>
      <c r="AIP84" s="2"/>
      <c r="AIQ84" s="2"/>
      <c r="AIR84" s="2"/>
      <c r="AIS84" s="2"/>
      <c r="AIT84" s="2"/>
      <c r="AIU84" s="2"/>
      <c r="AIV84" s="2"/>
      <c r="AIW84" s="2"/>
      <c r="AIX84" s="2"/>
      <c r="AIY84" s="2"/>
      <c r="AIZ84" s="2"/>
      <c r="AJA84" s="2"/>
      <c r="AJB84" s="2"/>
      <c r="AJC84" s="2"/>
      <c r="AJD84" s="2"/>
      <c r="AJE84" s="2"/>
      <c r="AJF84" s="2"/>
      <c r="AJG84" s="2"/>
      <c r="AJH84" s="2"/>
      <c r="AJI84" s="2"/>
      <c r="AJJ84" s="2"/>
      <c r="AJK84" s="2"/>
      <c r="AJL84" s="2"/>
      <c r="AJM84" s="2"/>
      <c r="AJN84" s="2"/>
      <c r="AJO84" s="2"/>
      <c r="AJP84" s="2"/>
      <c r="AJQ84" s="2"/>
      <c r="AJR84" s="2"/>
      <c r="AJS84" s="2"/>
      <c r="AJT84" s="2"/>
      <c r="AJU84" s="2"/>
      <c r="AJV84" s="2"/>
      <c r="AJW84" s="2"/>
      <c r="AJX84" s="2"/>
      <c r="AJY84" s="2"/>
      <c r="AJZ84" s="2"/>
      <c r="AKA84" s="2"/>
      <c r="AKB84" s="2"/>
      <c r="AKC84" s="2"/>
      <c r="AKD84" s="2"/>
      <c r="AKE84" s="2"/>
      <c r="AKF84" s="2"/>
      <c r="AKG84" s="2"/>
      <c r="AKH84" s="2"/>
      <c r="AKI84" s="2"/>
      <c r="AKJ84" s="2"/>
      <c r="AKK84" s="2"/>
      <c r="AKL84" s="2"/>
      <c r="AKM84" s="2"/>
      <c r="AKN84" s="2"/>
      <c r="AKO84" s="2"/>
      <c r="AKP84" s="2"/>
      <c r="AKQ84" s="2"/>
      <c r="AKR84" s="2"/>
      <c r="AKS84" s="2"/>
      <c r="AKT84" s="2"/>
      <c r="AKU84" s="2"/>
      <c r="AKV84" s="2"/>
      <c r="AKW84" s="2"/>
      <c r="AKX84" s="2"/>
      <c r="AKY84" s="2"/>
      <c r="AKZ84" s="2"/>
      <c r="ALA84" s="2"/>
      <c r="ALB84" s="2"/>
      <c r="ALC84" s="2"/>
      <c r="ALD84" s="2"/>
      <c r="ALE84" s="2"/>
      <c r="ALF84" s="2"/>
      <c r="ALG84" s="2"/>
      <c r="ALH84" s="2"/>
      <c r="ALI84" s="2"/>
      <c r="ALJ84" s="2"/>
      <c r="ALK84" s="2"/>
      <c r="ALL84" s="2"/>
      <c r="ALM84" s="2"/>
      <c r="ALN84" s="2"/>
      <c r="ALO84" s="2"/>
      <c r="ALP84" s="2"/>
      <c r="ALQ84" s="2"/>
      <c r="ALR84" s="2"/>
      <c r="ALS84" s="2"/>
      <c r="ALT84" s="2"/>
      <c r="ALU84" s="2"/>
      <c r="ALV84" s="2"/>
      <c r="ALW84" s="2"/>
      <c r="ALX84" s="2"/>
      <c r="ALY84" s="2"/>
      <c r="ALZ84" s="2"/>
      <c r="AMA84" s="2"/>
      <c r="AMB84" s="2"/>
      <c r="AMC84" s="2"/>
      <c r="AMD84" s="2"/>
      <c r="AME84" s="2"/>
      <c r="AMF84" s="2"/>
      <c r="AMG84" s="2"/>
      <c r="AMH84" s="2"/>
      <c r="AMI84" s="2"/>
      <c r="AMJ84" s="2"/>
    </row>
    <row r="85" spans="1:1024">
      <c r="A85" s="5" t="s">
        <v>27</v>
      </c>
      <c r="B85" s="8">
        <v>200000</v>
      </c>
      <c r="C85" s="9">
        <f>B85</f>
        <v>200000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  <c r="ACG85" s="2"/>
      <c r="ACH85" s="2"/>
      <c r="ACI85" s="2"/>
      <c r="ACJ85" s="2"/>
      <c r="ACK85" s="2"/>
      <c r="ACL85" s="2"/>
      <c r="ACM85" s="2"/>
      <c r="ACN85" s="2"/>
      <c r="ACO85" s="2"/>
      <c r="ACP85" s="2"/>
      <c r="ACQ85" s="2"/>
      <c r="ACR85" s="2"/>
      <c r="ACS85" s="2"/>
      <c r="ACT85" s="2"/>
      <c r="ACU85" s="2"/>
      <c r="ACV85" s="2"/>
      <c r="ACW85" s="2"/>
      <c r="ACX85" s="2"/>
      <c r="ACY85" s="2"/>
      <c r="ACZ85" s="2"/>
      <c r="ADA85" s="2"/>
      <c r="ADB85" s="2"/>
      <c r="ADC85" s="2"/>
      <c r="ADD85" s="2"/>
      <c r="ADE85" s="2"/>
      <c r="ADF85" s="2"/>
      <c r="ADG85" s="2"/>
      <c r="ADH85" s="2"/>
      <c r="ADI85" s="2"/>
      <c r="ADJ85" s="2"/>
      <c r="ADK85" s="2"/>
      <c r="ADL85" s="2"/>
      <c r="ADM85" s="2"/>
      <c r="ADN85" s="2"/>
      <c r="ADO85" s="2"/>
      <c r="ADP85" s="2"/>
      <c r="ADQ85" s="2"/>
      <c r="ADR85" s="2"/>
      <c r="ADS85" s="2"/>
      <c r="ADT85" s="2"/>
      <c r="ADU85" s="2"/>
      <c r="ADV85" s="2"/>
      <c r="ADW85" s="2"/>
      <c r="ADX85" s="2"/>
      <c r="ADY85" s="2"/>
      <c r="ADZ85" s="2"/>
      <c r="AEA85" s="2"/>
      <c r="AEB85" s="2"/>
      <c r="AEC85" s="2"/>
      <c r="AED85" s="2"/>
      <c r="AEE85" s="2"/>
      <c r="AEF85" s="2"/>
      <c r="AEG85" s="2"/>
      <c r="AEH85" s="2"/>
      <c r="AEI85" s="2"/>
      <c r="AEJ85" s="2"/>
      <c r="AEK85" s="2"/>
      <c r="AEL85" s="2"/>
      <c r="AEM85" s="2"/>
      <c r="AEN85" s="2"/>
      <c r="AEO85" s="2"/>
      <c r="AEP85" s="2"/>
      <c r="AEQ85" s="2"/>
      <c r="AER85" s="2"/>
      <c r="AES85" s="2"/>
      <c r="AET85" s="2"/>
      <c r="AEU85" s="2"/>
      <c r="AEV85" s="2"/>
      <c r="AEW85" s="2"/>
      <c r="AEX85" s="2"/>
      <c r="AEY85" s="2"/>
      <c r="AEZ85" s="2"/>
      <c r="AFA85" s="2"/>
      <c r="AFB85" s="2"/>
      <c r="AFC85" s="2"/>
      <c r="AFD85" s="2"/>
      <c r="AFE85" s="2"/>
      <c r="AFF85" s="2"/>
      <c r="AFG85" s="2"/>
      <c r="AFH85" s="2"/>
      <c r="AFI85" s="2"/>
      <c r="AFJ85" s="2"/>
      <c r="AFK85" s="2"/>
      <c r="AFL85" s="2"/>
      <c r="AFM85" s="2"/>
      <c r="AFN85" s="2"/>
      <c r="AFO85" s="2"/>
      <c r="AFP85" s="2"/>
      <c r="AFQ85" s="2"/>
      <c r="AFR85" s="2"/>
      <c r="AFS85" s="2"/>
      <c r="AFT85" s="2"/>
      <c r="AFU85" s="2"/>
      <c r="AFV85" s="2"/>
      <c r="AFW85" s="2"/>
      <c r="AFX85" s="2"/>
      <c r="AFY85" s="2"/>
      <c r="AFZ85" s="2"/>
      <c r="AGA85" s="2"/>
      <c r="AGB85" s="2"/>
      <c r="AGC85" s="2"/>
      <c r="AGD85" s="2"/>
      <c r="AGE85" s="2"/>
      <c r="AGF85" s="2"/>
      <c r="AGG85" s="2"/>
      <c r="AGH85" s="2"/>
      <c r="AGI85" s="2"/>
      <c r="AGJ85" s="2"/>
      <c r="AGK85" s="2"/>
      <c r="AGL85" s="2"/>
      <c r="AGM85" s="2"/>
      <c r="AGN85" s="2"/>
      <c r="AGO85" s="2"/>
      <c r="AGP85" s="2"/>
      <c r="AGQ85" s="2"/>
      <c r="AGR85" s="2"/>
      <c r="AGS85" s="2"/>
      <c r="AGT85" s="2"/>
      <c r="AGU85" s="2"/>
      <c r="AGV85" s="2"/>
      <c r="AGW85" s="2"/>
      <c r="AGX85" s="2"/>
      <c r="AGY85" s="2"/>
      <c r="AGZ85" s="2"/>
      <c r="AHA85" s="2"/>
      <c r="AHB85" s="2"/>
      <c r="AHC85" s="2"/>
      <c r="AHD85" s="2"/>
      <c r="AHE85" s="2"/>
      <c r="AHF85" s="2"/>
      <c r="AHG85" s="2"/>
      <c r="AHH85" s="2"/>
      <c r="AHI85" s="2"/>
      <c r="AHJ85" s="2"/>
      <c r="AHK85" s="2"/>
      <c r="AHL85" s="2"/>
      <c r="AHM85" s="2"/>
      <c r="AHN85" s="2"/>
      <c r="AHO85" s="2"/>
      <c r="AHP85" s="2"/>
      <c r="AHQ85" s="2"/>
      <c r="AHR85" s="2"/>
      <c r="AHS85" s="2"/>
      <c r="AHT85" s="2"/>
      <c r="AHU85" s="2"/>
      <c r="AHV85" s="2"/>
      <c r="AHW85" s="2"/>
      <c r="AHX85" s="2"/>
      <c r="AHY85" s="2"/>
      <c r="AHZ85" s="2"/>
      <c r="AIA85" s="2"/>
      <c r="AIB85" s="2"/>
      <c r="AIC85" s="2"/>
      <c r="AID85" s="2"/>
      <c r="AIE85" s="2"/>
      <c r="AIF85" s="2"/>
      <c r="AIG85" s="2"/>
      <c r="AIH85" s="2"/>
      <c r="AII85" s="2"/>
      <c r="AIJ85" s="2"/>
      <c r="AIK85" s="2"/>
      <c r="AIL85" s="2"/>
      <c r="AIM85" s="2"/>
      <c r="AIN85" s="2"/>
      <c r="AIO85" s="2"/>
      <c r="AIP85" s="2"/>
      <c r="AIQ85" s="2"/>
      <c r="AIR85" s="2"/>
      <c r="AIS85" s="2"/>
      <c r="AIT85" s="2"/>
      <c r="AIU85" s="2"/>
      <c r="AIV85" s="2"/>
      <c r="AIW85" s="2"/>
      <c r="AIX85" s="2"/>
      <c r="AIY85" s="2"/>
      <c r="AIZ85" s="2"/>
      <c r="AJA85" s="2"/>
      <c r="AJB85" s="2"/>
      <c r="AJC85" s="2"/>
      <c r="AJD85" s="2"/>
      <c r="AJE85" s="2"/>
      <c r="AJF85" s="2"/>
      <c r="AJG85" s="2"/>
      <c r="AJH85" s="2"/>
      <c r="AJI85" s="2"/>
      <c r="AJJ85" s="2"/>
      <c r="AJK85" s="2"/>
      <c r="AJL85" s="2"/>
      <c r="AJM85" s="2"/>
      <c r="AJN85" s="2"/>
      <c r="AJO85" s="2"/>
      <c r="AJP85" s="2"/>
      <c r="AJQ85" s="2"/>
      <c r="AJR85" s="2"/>
      <c r="AJS85" s="2"/>
      <c r="AJT85" s="2"/>
      <c r="AJU85" s="2"/>
      <c r="AJV85" s="2"/>
      <c r="AJW85" s="2"/>
      <c r="AJX85" s="2"/>
      <c r="AJY85" s="2"/>
      <c r="AJZ85" s="2"/>
      <c r="AKA85" s="2"/>
      <c r="AKB85" s="2"/>
      <c r="AKC85" s="2"/>
      <c r="AKD85" s="2"/>
      <c r="AKE85" s="2"/>
      <c r="AKF85" s="2"/>
      <c r="AKG85" s="2"/>
      <c r="AKH85" s="2"/>
      <c r="AKI85" s="2"/>
      <c r="AKJ85" s="2"/>
      <c r="AKK85" s="2"/>
      <c r="AKL85" s="2"/>
      <c r="AKM85" s="2"/>
      <c r="AKN85" s="2"/>
      <c r="AKO85" s="2"/>
      <c r="AKP85" s="2"/>
      <c r="AKQ85" s="2"/>
      <c r="AKR85" s="2"/>
      <c r="AKS85" s="2"/>
      <c r="AKT85" s="2"/>
      <c r="AKU85" s="2"/>
      <c r="AKV85" s="2"/>
      <c r="AKW85" s="2"/>
      <c r="AKX85" s="2"/>
      <c r="AKY85" s="2"/>
      <c r="AKZ85" s="2"/>
      <c r="ALA85" s="2"/>
      <c r="ALB85" s="2"/>
      <c r="ALC85" s="2"/>
      <c r="ALD85" s="2"/>
      <c r="ALE85" s="2"/>
      <c r="ALF85" s="2"/>
      <c r="ALG85" s="2"/>
      <c r="ALH85" s="2"/>
      <c r="ALI85" s="2"/>
      <c r="ALJ85" s="2"/>
      <c r="ALK85" s="2"/>
      <c r="ALL85" s="2"/>
      <c r="ALM85" s="2"/>
      <c r="ALN85" s="2"/>
      <c r="ALO85" s="2"/>
      <c r="ALP85" s="2"/>
      <c r="ALQ85" s="2"/>
      <c r="ALR85" s="2"/>
      <c r="ALS85" s="2"/>
      <c r="ALT85" s="2"/>
      <c r="ALU85" s="2"/>
      <c r="ALV85" s="2"/>
      <c r="ALW85" s="2"/>
      <c r="ALX85" s="2"/>
      <c r="ALY85" s="2"/>
      <c r="ALZ85" s="2"/>
      <c r="AMA85" s="2"/>
      <c r="AMB85" s="2"/>
      <c r="AMC85" s="2"/>
      <c r="AMD85" s="2"/>
      <c r="AME85" s="2"/>
      <c r="AMF85" s="2"/>
      <c r="AMG85" s="2"/>
      <c r="AMH85" s="2"/>
      <c r="AMI85" s="2"/>
      <c r="AMJ85" s="2"/>
    </row>
    <row r="86" spans="1:1024">
      <c r="A86" s="5" t="s">
        <v>28</v>
      </c>
      <c r="B86" s="8">
        <v>17000</v>
      </c>
      <c r="C86" s="9"/>
      <c r="D86" s="9"/>
      <c r="E86" s="9"/>
      <c r="F86" s="9"/>
      <c r="G86" s="9"/>
      <c r="H86" s="9"/>
      <c r="I86" s="9"/>
      <c r="J86" s="9"/>
      <c r="K86" s="15">
        <f>B86+D51</f>
        <v>20400</v>
      </c>
      <c r="L86" s="9"/>
      <c r="M86" s="9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  <c r="ACG86" s="2"/>
      <c r="ACH86" s="2"/>
      <c r="ACI86" s="2"/>
      <c r="ACJ86" s="2"/>
      <c r="ACK86" s="2"/>
      <c r="ACL86" s="2"/>
      <c r="ACM86" s="2"/>
      <c r="ACN86" s="2"/>
      <c r="ACO86" s="2"/>
      <c r="ACP86" s="2"/>
      <c r="ACQ86" s="2"/>
      <c r="ACR86" s="2"/>
      <c r="ACS86" s="2"/>
      <c r="ACT86" s="2"/>
      <c r="ACU86" s="2"/>
      <c r="ACV86" s="2"/>
      <c r="ACW86" s="2"/>
      <c r="ACX86" s="2"/>
      <c r="ACY86" s="2"/>
      <c r="ACZ86" s="2"/>
      <c r="ADA86" s="2"/>
      <c r="ADB86" s="2"/>
      <c r="ADC86" s="2"/>
      <c r="ADD86" s="2"/>
      <c r="ADE86" s="2"/>
      <c r="ADF86" s="2"/>
      <c r="ADG86" s="2"/>
      <c r="ADH86" s="2"/>
      <c r="ADI86" s="2"/>
      <c r="ADJ86" s="2"/>
      <c r="ADK86" s="2"/>
      <c r="ADL86" s="2"/>
      <c r="ADM86" s="2"/>
      <c r="ADN86" s="2"/>
      <c r="ADO86" s="2"/>
      <c r="ADP86" s="2"/>
      <c r="ADQ86" s="2"/>
      <c r="ADR86" s="2"/>
      <c r="ADS86" s="2"/>
      <c r="ADT86" s="2"/>
      <c r="ADU86" s="2"/>
      <c r="ADV86" s="2"/>
      <c r="ADW86" s="2"/>
      <c r="ADX86" s="2"/>
      <c r="ADY86" s="2"/>
      <c r="ADZ86" s="2"/>
      <c r="AEA86" s="2"/>
      <c r="AEB86" s="2"/>
      <c r="AEC86" s="2"/>
      <c r="AED86" s="2"/>
      <c r="AEE86" s="2"/>
      <c r="AEF86" s="2"/>
      <c r="AEG86" s="2"/>
      <c r="AEH86" s="2"/>
      <c r="AEI86" s="2"/>
      <c r="AEJ86" s="2"/>
      <c r="AEK86" s="2"/>
      <c r="AEL86" s="2"/>
      <c r="AEM86" s="2"/>
      <c r="AEN86" s="2"/>
      <c r="AEO86" s="2"/>
      <c r="AEP86" s="2"/>
      <c r="AEQ86" s="2"/>
      <c r="AER86" s="2"/>
      <c r="AES86" s="2"/>
      <c r="AET86" s="2"/>
      <c r="AEU86" s="2"/>
      <c r="AEV86" s="2"/>
      <c r="AEW86" s="2"/>
      <c r="AEX86" s="2"/>
      <c r="AEY86" s="2"/>
      <c r="AEZ86" s="2"/>
      <c r="AFA86" s="2"/>
      <c r="AFB86" s="2"/>
      <c r="AFC86" s="2"/>
      <c r="AFD86" s="2"/>
      <c r="AFE86" s="2"/>
      <c r="AFF86" s="2"/>
      <c r="AFG86" s="2"/>
      <c r="AFH86" s="2"/>
      <c r="AFI86" s="2"/>
      <c r="AFJ86" s="2"/>
      <c r="AFK86" s="2"/>
      <c r="AFL86" s="2"/>
      <c r="AFM86" s="2"/>
      <c r="AFN86" s="2"/>
      <c r="AFO86" s="2"/>
      <c r="AFP86" s="2"/>
      <c r="AFQ86" s="2"/>
      <c r="AFR86" s="2"/>
      <c r="AFS86" s="2"/>
      <c r="AFT86" s="2"/>
      <c r="AFU86" s="2"/>
      <c r="AFV86" s="2"/>
      <c r="AFW86" s="2"/>
      <c r="AFX86" s="2"/>
      <c r="AFY86" s="2"/>
      <c r="AFZ86" s="2"/>
      <c r="AGA86" s="2"/>
      <c r="AGB86" s="2"/>
      <c r="AGC86" s="2"/>
      <c r="AGD86" s="2"/>
      <c r="AGE86" s="2"/>
      <c r="AGF86" s="2"/>
      <c r="AGG86" s="2"/>
      <c r="AGH86" s="2"/>
      <c r="AGI86" s="2"/>
      <c r="AGJ86" s="2"/>
      <c r="AGK86" s="2"/>
      <c r="AGL86" s="2"/>
      <c r="AGM86" s="2"/>
      <c r="AGN86" s="2"/>
      <c r="AGO86" s="2"/>
      <c r="AGP86" s="2"/>
      <c r="AGQ86" s="2"/>
      <c r="AGR86" s="2"/>
      <c r="AGS86" s="2"/>
      <c r="AGT86" s="2"/>
      <c r="AGU86" s="2"/>
      <c r="AGV86" s="2"/>
      <c r="AGW86" s="2"/>
      <c r="AGX86" s="2"/>
      <c r="AGY86" s="2"/>
      <c r="AGZ86" s="2"/>
      <c r="AHA86" s="2"/>
      <c r="AHB86" s="2"/>
      <c r="AHC86" s="2"/>
      <c r="AHD86" s="2"/>
      <c r="AHE86" s="2"/>
      <c r="AHF86" s="2"/>
      <c r="AHG86" s="2"/>
      <c r="AHH86" s="2"/>
      <c r="AHI86" s="2"/>
      <c r="AHJ86" s="2"/>
      <c r="AHK86" s="2"/>
      <c r="AHL86" s="2"/>
      <c r="AHM86" s="2"/>
      <c r="AHN86" s="2"/>
      <c r="AHO86" s="2"/>
      <c r="AHP86" s="2"/>
      <c r="AHQ86" s="2"/>
      <c r="AHR86" s="2"/>
      <c r="AHS86" s="2"/>
      <c r="AHT86" s="2"/>
      <c r="AHU86" s="2"/>
      <c r="AHV86" s="2"/>
      <c r="AHW86" s="2"/>
      <c r="AHX86" s="2"/>
      <c r="AHY86" s="2"/>
      <c r="AHZ86" s="2"/>
      <c r="AIA86" s="2"/>
      <c r="AIB86" s="2"/>
      <c r="AIC86" s="2"/>
      <c r="AID86" s="2"/>
      <c r="AIE86" s="2"/>
      <c r="AIF86" s="2"/>
      <c r="AIG86" s="2"/>
      <c r="AIH86" s="2"/>
      <c r="AII86" s="2"/>
      <c r="AIJ86" s="2"/>
      <c r="AIK86" s="2"/>
      <c r="AIL86" s="2"/>
      <c r="AIM86" s="2"/>
      <c r="AIN86" s="2"/>
      <c r="AIO86" s="2"/>
      <c r="AIP86" s="2"/>
      <c r="AIQ86" s="2"/>
      <c r="AIR86" s="2"/>
      <c r="AIS86" s="2"/>
      <c r="AIT86" s="2"/>
      <c r="AIU86" s="2"/>
      <c r="AIV86" s="2"/>
      <c r="AIW86" s="2"/>
      <c r="AIX86" s="2"/>
      <c r="AIY86" s="2"/>
      <c r="AIZ86" s="2"/>
      <c r="AJA86" s="2"/>
      <c r="AJB86" s="2"/>
      <c r="AJC86" s="2"/>
      <c r="AJD86" s="2"/>
      <c r="AJE86" s="2"/>
      <c r="AJF86" s="2"/>
      <c r="AJG86" s="2"/>
      <c r="AJH86" s="2"/>
      <c r="AJI86" s="2"/>
      <c r="AJJ86" s="2"/>
      <c r="AJK86" s="2"/>
      <c r="AJL86" s="2"/>
      <c r="AJM86" s="2"/>
      <c r="AJN86" s="2"/>
      <c r="AJO86" s="2"/>
      <c r="AJP86" s="2"/>
      <c r="AJQ86" s="2"/>
      <c r="AJR86" s="2"/>
      <c r="AJS86" s="2"/>
      <c r="AJT86" s="2"/>
      <c r="AJU86" s="2"/>
      <c r="AJV86" s="2"/>
      <c r="AJW86" s="2"/>
      <c r="AJX86" s="2"/>
      <c r="AJY86" s="2"/>
      <c r="AJZ86" s="2"/>
      <c r="AKA86" s="2"/>
      <c r="AKB86" s="2"/>
      <c r="AKC86" s="2"/>
      <c r="AKD86" s="2"/>
      <c r="AKE86" s="2"/>
      <c r="AKF86" s="2"/>
      <c r="AKG86" s="2"/>
      <c r="AKH86" s="2"/>
      <c r="AKI86" s="2"/>
      <c r="AKJ86" s="2"/>
      <c r="AKK86" s="2"/>
      <c r="AKL86" s="2"/>
      <c r="AKM86" s="2"/>
      <c r="AKN86" s="2"/>
      <c r="AKO86" s="2"/>
      <c r="AKP86" s="2"/>
      <c r="AKQ86" s="2"/>
      <c r="AKR86" s="2"/>
      <c r="AKS86" s="2"/>
      <c r="AKT86" s="2"/>
      <c r="AKU86" s="2"/>
      <c r="AKV86" s="2"/>
      <c r="AKW86" s="2"/>
      <c r="AKX86" s="2"/>
      <c r="AKY86" s="2"/>
      <c r="AKZ86" s="2"/>
      <c r="ALA86" s="2"/>
      <c r="ALB86" s="2"/>
      <c r="ALC86" s="2"/>
      <c r="ALD86" s="2"/>
      <c r="ALE86" s="2"/>
      <c r="ALF86" s="2"/>
      <c r="ALG86" s="2"/>
      <c r="ALH86" s="2"/>
      <c r="ALI86" s="2"/>
      <c r="ALJ86" s="2"/>
      <c r="ALK86" s="2"/>
      <c r="ALL86" s="2"/>
      <c r="ALM86" s="2"/>
      <c r="ALN86" s="2"/>
      <c r="ALO86" s="2"/>
      <c r="ALP86" s="2"/>
      <c r="ALQ86" s="2"/>
      <c r="ALR86" s="2"/>
      <c r="ALS86" s="2"/>
      <c r="ALT86" s="2"/>
      <c r="ALU86" s="2"/>
      <c r="ALV86" s="2"/>
      <c r="ALW86" s="2"/>
      <c r="ALX86" s="2"/>
      <c r="ALY86" s="2"/>
      <c r="ALZ86" s="2"/>
      <c r="AMA86" s="2"/>
      <c r="AMB86" s="2"/>
      <c r="AMC86" s="2"/>
      <c r="AMD86" s="2"/>
      <c r="AME86" s="2"/>
      <c r="AMF86" s="2"/>
      <c r="AMG86" s="2"/>
      <c r="AMH86" s="2"/>
      <c r="AMI86" s="2"/>
      <c r="AMJ86" s="2"/>
    </row>
    <row r="87" spans="1:1024">
      <c r="A87" s="5" t="s">
        <v>29</v>
      </c>
      <c r="B87" s="8">
        <v>140000</v>
      </c>
      <c r="C87" s="9"/>
      <c r="D87" s="9">
        <f>B87</f>
        <v>140000</v>
      </c>
      <c r="E87" s="9"/>
      <c r="F87" s="9"/>
      <c r="G87" s="9"/>
      <c r="H87" s="9"/>
      <c r="I87" s="9"/>
      <c r="J87" s="9"/>
      <c r="K87" s="9"/>
      <c r="L87" s="9"/>
      <c r="M87" s="9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  <c r="ACG87" s="2"/>
      <c r="ACH87" s="2"/>
      <c r="ACI87" s="2"/>
      <c r="ACJ87" s="2"/>
      <c r="ACK87" s="2"/>
      <c r="ACL87" s="2"/>
      <c r="ACM87" s="2"/>
      <c r="ACN87" s="2"/>
      <c r="ACO87" s="2"/>
      <c r="ACP87" s="2"/>
      <c r="ACQ87" s="2"/>
      <c r="ACR87" s="2"/>
      <c r="ACS87" s="2"/>
      <c r="ACT87" s="2"/>
      <c r="ACU87" s="2"/>
      <c r="ACV87" s="2"/>
      <c r="ACW87" s="2"/>
      <c r="ACX87" s="2"/>
      <c r="ACY87" s="2"/>
      <c r="ACZ87" s="2"/>
      <c r="ADA87" s="2"/>
      <c r="ADB87" s="2"/>
      <c r="ADC87" s="2"/>
      <c r="ADD87" s="2"/>
      <c r="ADE87" s="2"/>
      <c r="ADF87" s="2"/>
      <c r="ADG87" s="2"/>
      <c r="ADH87" s="2"/>
      <c r="ADI87" s="2"/>
      <c r="ADJ87" s="2"/>
      <c r="ADK87" s="2"/>
      <c r="ADL87" s="2"/>
      <c r="ADM87" s="2"/>
      <c r="ADN87" s="2"/>
      <c r="ADO87" s="2"/>
      <c r="ADP87" s="2"/>
      <c r="ADQ87" s="2"/>
      <c r="ADR87" s="2"/>
      <c r="ADS87" s="2"/>
      <c r="ADT87" s="2"/>
      <c r="ADU87" s="2"/>
      <c r="ADV87" s="2"/>
      <c r="ADW87" s="2"/>
      <c r="ADX87" s="2"/>
      <c r="ADY87" s="2"/>
      <c r="ADZ87" s="2"/>
      <c r="AEA87" s="2"/>
      <c r="AEB87" s="2"/>
      <c r="AEC87" s="2"/>
      <c r="AED87" s="2"/>
      <c r="AEE87" s="2"/>
      <c r="AEF87" s="2"/>
      <c r="AEG87" s="2"/>
      <c r="AEH87" s="2"/>
      <c r="AEI87" s="2"/>
      <c r="AEJ87" s="2"/>
      <c r="AEK87" s="2"/>
      <c r="AEL87" s="2"/>
      <c r="AEM87" s="2"/>
      <c r="AEN87" s="2"/>
      <c r="AEO87" s="2"/>
      <c r="AEP87" s="2"/>
      <c r="AEQ87" s="2"/>
      <c r="AER87" s="2"/>
      <c r="AES87" s="2"/>
      <c r="AET87" s="2"/>
      <c r="AEU87" s="2"/>
      <c r="AEV87" s="2"/>
      <c r="AEW87" s="2"/>
      <c r="AEX87" s="2"/>
      <c r="AEY87" s="2"/>
      <c r="AEZ87" s="2"/>
      <c r="AFA87" s="2"/>
      <c r="AFB87" s="2"/>
      <c r="AFC87" s="2"/>
      <c r="AFD87" s="2"/>
      <c r="AFE87" s="2"/>
      <c r="AFF87" s="2"/>
      <c r="AFG87" s="2"/>
      <c r="AFH87" s="2"/>
      <c r="AFI87" s="2"/>
      <c r="AFJ87" s="2"/>
      <c r="AFK87" s="2"/>
      <c r="AFL87" s="2"/>
      <c r="AFM87" s="2"/>
      <c r="AFN87" s="2"/>
      <c r="AFO87" s="2"/>
      <c r="AFP87" s="2"/>
      <c r="AFQ87" s="2"/>
      <c r="AFR87" s="2"/>
      <c r="AFS87" s="2"/>
      <c r="AFT87" s="2"/>
      <c r="AFU87" s="2"/>
      <c r="AFV87" s="2"/>
      <c r="AFW87" s="2"/>
      <c r="AFX87" s="2"/>
      <c r="AFY87" s="2"/>
      <c r="AFZ87" s="2"/>
      <c r="AGA87" s="2"/>
      <c r="AGB87" s="2"/>
      <c r="AGC87" s="2"/>
      <c r="AGD87" s="2"/>
      <c r="AGE87" s="2"/>
      <c r="AGF87" s="2"/>
      <c r="AGG87" s="2"/>
      <c r="AGH87" s="2"/>
      <c r="AGI87" s="2"/>
      <c r="AGJ87" s="2"/>
      <c r="AGK87" s="2"/>
      <c r="AGL87" s="2"/>
      <c r="AGM87" s="2"/>
      <c r="AGN87" s="2"/>
      <c r="AGO87" s="2"/>
      <c r="AGP87" s="2"/>
      <c r="AGQ87" s="2"/>
      <c r="AGR87" s="2"/>
      <c r="AGS87" s="2"/>
      <c r="AGT87" s="2"/>
      <c r="AGU87" s="2"/>
      <c r="AGV87" s="2"/>
      <c r="AGW87" s="2"/>
      <c r="AGX87" s="2"/>
      <c r="AGY87" s="2"/>
      <c r="AGZ87" s="2"/>
      <c r="AHA87" s="2"/>
      <c r="AHB87" s="2"/>
      <c r="AHC87" s="2"/>
      <c r="AHD87" s="2"/>
      <c r="AHE87" s="2"/>
      <c r="AHF87" s="2"/>
      <c r="AHG87" s="2"/>
      <c r="AHH87" s="2"/>
      <c r="AHI87" s="2"/>
      <c r="AHJ87" s="2"/>
      <c r="AHK87" s="2"/>
      <c r="AHL87" s="2"/>
      <c r="AHM87" s="2"/>
      <c r="AHN87" s="2"/>
      <c r="AHO87" s="2"/>
      <c r="AHP87" s="2"/>
      <c r="AHQ87" s="2"/>
      <c r="AHR87" s="2"/>
      <c r="AHS87" s="2"/>
      <c r="AHT87" s="2"/>
      <c r="AHU87" s="2"/>
      <c r="AHV87" s="2"/>
      <c r="AHW87" s="2"/>
      <c r="AHX87" s="2"/>
      <c r="AHY87" s="2"/>
      <c r="AHZ87" s="2"/>
      <c r="AIA87" s="2"/>
      <c r="AIB87" s="2"/>
      <c r="AIC87" s="2"/>
      <c r="AID87" s="2"/>
      <c r="AIE87" s="2"/>
      <c r="AIF87" s="2"/>
      <c r="AIG87" s="2"/>
      <c r="AIH87" s="2"/>
      <c r="AII87" s="2"/>
      <c r="AIJ87" s="2"/>
      <c r="AIK87" s="2"/>
      <c r="AIL87" s="2"/>
      <c r="AIM87" s="2"/>
      <c r="AIN87" s="2"/>
      <c r="AIO87" s="2"/>
      <c r="AIP87" s="2"/>
      <c r="AIQ87" s="2"/>
      <c r="AIR87" s="2"/>
      <c r="AIS87" s="2"/>
      <c r="AIT87" s="2"/>
      <c r="AIU87" s="2"/>
      <c r="AIV87" s="2"/>
      <c r="AIW87" s="2"/>
      <c r="AIX87" s="2"/>
      <c r="AIY87" s="2"/>
      <c r="AIZ87" s="2"/>
      <c r="AJA87" s="2"/>
      <c r="AJB87" s="2"/>
      <c r="AJC87" s="2"/>
      <c r="AJD87" s="2"/>
      <c r="AJE87" s="2"/>
      <c r="AJF87" s="2"/>
      <c r="AJG87" s="2"/>
      <c r="AJH87" s="2"/>
      <c r="AJI87" s="2"/>
      <c r="AJJ87" s="2"/>
      <c r="AJK87" s="2"/>
      <c r="AJL87" s="2"/>
      <c r="AJM87" s="2"/>
      <c r="AJN87" s="2"/>
      <c r="AJO87" s="2"/>
      <c r="AJP87" s="2"/>
      <c r="AJQ87" s="2"/>
      <c r="AJR87" s="2"/>
      <c r="AJS87" s="2"/>
      <c r="AJT87" s="2"/>
      <c r="AJU87" s="2"/>
      <c r="AJV87" s="2"/>
      <c r="AJW87" s="2"/>
      <c r="AJX87" s="2"/>
      <c r="AJY87" s="2"/>
      <c r="AJZ87" s="2"/>
      <c r="AKA87" s="2"/>
      <c r="AKB87" s="2"/>
      <c r="AKC87" s="2"/>
      <c r="AKD87" s="2"/>
      <c r="AKE87" s="2"/>
      <c r="AKF87" s="2"/>
      <c r="AKG87" s="2"/>
      <c r="AKH87" s="2"/>
      <c r="AKI87" s="2"/>
      <c r="AKJ87" s="2"/>
      <c r="AKK87" s="2"/>
      <c r="AKL87" s="2"/>
      <c r="AKM87" s="2"/>
      <c r="AKN87" s="2"/>
      <c r="AKO87" s="2"/>
      <c r="AKP87" s="2"/>
      <c r="AKQ87" s="2"/>
      <c r="AKR87" s="2"/>
      <c r="AKS87" s="2"/>
      <c r="AKT87" s="2"/>
      <c r="AKU87" s="2"/>
      <c r="AKV87" s="2"/>
      <c r="AKW87" s="2"/>
      <c r="AKX87" s="2"/>
      <c r="AKY87" s="2"/>
      <c r="AKZ87" s="2"/>
      <c r="ALA87" s="2"/>
      <c r="ALB87" s="2"/>
      <c r="ALC87" s="2"/>
      <c r="ALD87" s="2"/>
      <c r="ALE87" s="2"/>
      <c r="ALF87" s="2"/>
      <c r="ALG87" s="2"/>
      <c r="ALH87" s="2"/>
      <c r="ALI87" s="2"/>
      <c r="ALJ87" s="2"/>
      <c r="ALK87" s="2"/>
      <c r="ALL87" s="2"/>
      <c r="ALM87" s="2"/>
      <c r="ALN87" s="2"/>
      <c r="ALO87" s="2"/>
      <c r="ALP87" s="2"/>
      <c r="ALQ87" s="2"/>
      <c r="ALR87" s="2"/>
      <c r="ALS87" s="2"/>
      <c r="ALT87" s="2"/>
      <c r="ALU87" s="2"/>
      <c r="ALV87" s="2"/>
      <c r="ALW87" s="2"/>
      <c r="ALX87" s="2"/>
      <c r="ALY87" s="2"/>
      <c r="ALZ87" s="2"/>
      <c r="AMA87" s="2"/>
      <c r="AMB87" s="2"/>
      <c r="AMC87" s="2"/>
      <c r="AMD87" s="2"/>
      <c r="AME87" s="2"/>
      <c r="AMF87" s="2"/>
      <c r="AMG87" s="2"/>
      <c r="AMH87" s="2"/>
      <c r="AMI87" s="2"/>
      <c r="AMJ87" s="2"/>
    </row>
    <row r="88" spans="1:1024" s="14" customFormat="1">
      <c r="A88" s="12" t="s">
        <v>56</v>
      </c>
      <c r="B88" s="13"/>
      <c r="C88" s="11"/>
      <c r="D88" s="11"/>
      <c r="E88" s="11"/>
      <c r="F88" s="11"/>
      <c r="G88" s="11"/>
      <c r="H88" s="11"/>
      <c r="I88" s="11"/>
      <c r="J88" s="11"/>
      <c r="K88" s="15">
        <f>D42</f>
        <v>9000</v>
      </c>
      <c r="L88" s="11"/>
      <c r="M88" s="11"/>
    </row>
    <row r="89" spans="1:1024" s="14" customFormat="1">
      <c r="A89" s="16" t="s">
        <v>57</v>
      </c>
      <c r="B89" s="13"/>
      <c r="C89" s="11"/>
      <c r="D89" s="11"/>
      <c r="E89" s="11"/>
      <c r="F89" s="11"/>
      <c r="G89" s="11"/>
      <c r="H89" s="11"/>
      <c r="I89" s="11"/>
      <c r="J89" s="11"/>
      <c r="K89" s="15">
        <f>D45</f>
        <v>10000</v>
      </c>
      <c r="L89" s="11"/>
      <c r="M89" s="11"/>
    </row>
    <row r="90" spans="1:1024">
      <c r="A90" s="16" t="s">
        <v>58</v>
      </c>
      <c r="B90" s="8"/>
      <c r="C90" s="9"/>
      <c r="D90" s="9"/>
      <c r="E90" s="15">
        <f>D49</f>
        <v>5000</v>
      </c>
      <c r="F90" s="9"/>
      <c r="G90" s="9"/>
      <c r="H90" s="9"/>
      <c r="I90" s="9"/>
      <c r="J90" s="9"/>
      <c r="K90" s="9"/>
      <c r="L90" s="9"/>
      <c r="M90" s="9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  <c r="ACG90" s="2"/>
      <c r="ACH90" s="2"/>
      <c r="ACI90" s="2"/>
      <c r="ACJ90" s="2"/>
      <c r="ACK90" s="2"/>
      <c r="ACL90" s="2"/>
      <c r="ACM90" s="2"/>
      <c r="ACN90" s="2"/>
      <c r="ACO90" s="2"/>
      <c r="ACP90" s="2"/>
      <c r="ACQ90" s="2"/>
      <c r="ACR90" s="2"/>
      <c r="ACS90" s="2"/>
      <c r="ACT90" s="2"/>
      <c r="ACU90" s="2"/>
      <c r="ACV90" s="2"/>
      <c r="ACW90" s="2"/>
      <c r="ACX90" s="2"/>
      <c r="ACY90" s="2"/>
      <c r="ACZ90" s="2"/>
      <c r="ADA90" s="2"/>
      <c r="ADB90" s="2"/>
      <c r="ADC90" s="2"/>
      <c r="ADD90" s="2"/>
      <c r="ADE90" s="2"/>
      <c r="ADF90" s="2"/>
      <c r="ADG90" s="2"/>
      <c r="ADH90" s="2"/>
      <c r="ADI90" s="2"/>
      <c r="ADJ90" s="2"/>
      <c r="ADK90" s="2"/>
      <c r="ADL90" s="2"/>
      <c r="ADM90" s="2"/>
      <c r="ADN90" s="2"/>
      <c r="ADO90" s="2"/>
      <c r="ADP90" s="2"/>
      <c r="ADQ90" s="2"/>
      <c r="ADR90" s="2"/>
      <c r="ADS90" s="2"/>
      <c r="ADT90" s="2"/>
      <c r="ADU90" s="2"/>
      <c r="ADV90" s="2"/>
      <c r="ADW90" s="2"/>
      <c r="ADX90" s="2"/>
      <c r="ADY90" s="2"/>
      <c r="ADZ90" s="2"/>
      <c r="AEA90" s="2"/>
      <c r="AEB90" s="2"/>
      <c r="AEC90" s="2"/>
      <c r="AED90" s="2"/>
      <c r="AEE90" s="2"/>
      <c r="AEF90" s="2"/>
      <c r="AEG90" s="2"/>
      <c r="AEH90" s="2"/>
      <c r="AEI90" s="2"/>
      <c r="AEJ90" s="2"/>
      <c r="AEK90" s="2"/>
      <c r="AEL90" s="2"/>
      <c r="AEM90" s="2"/>
      <c r="AEN90" s="2"/>
      <c r="AEO90" s="2"/>
      <c r="AEP90" s="2"/>
      <c r="AEQ90" s="2"/>
      <c r="AER90" s="2"/>
      <c r="AES90" s="2"/>
      <c r="AET90" s="2"/>
      <c r="AEU90" s="2"/>
      <c r="AEV90" s="2"/>
      <c r="AEW90" s="2"/>
      <c r="AEX90" s="2"/>
      <c r="AEY90" s="2"/>
      <c r="AEZ90" s="2"/>
      <c r="AFA90" s="2"/>
      <c r="AFB90" s="2"/>
      <c r="AFC90" s="2"/>
      <c r="AFD90" s="2"/>
      <c r="AFE90" s="2"/>
      <c r="AFF90" s="2"/>
      <c r="AFG90" s="2"/>
      <c r="AFH90" s="2"/>
      <c r="AFI90" s="2"/>
      <c r="AFJ90" s="2"/>
      <c r="AFK90" s="2"/>
      <c r="AFL90" s="2"/>
      <c r="AFM90" s="2"/>
      <c r="AFN90" s="2"/>
      <c r="AFO90" s="2"/>
      <c r="AFP90" s="2"/>
      <c r="AFQ90" s="2"/>
      <c r="AFR90" s="2"/>
      <c r="AFS90" s="2"/>
      <c r="AFT90" s="2"/>
      <c r="AFU90" s="2"/>
      <c r="AFV90" s="2"/>
      <c r="AFW90" s="2"/>
      <c r="AFX90" s="2"/>
      <c r="AFY90" s="2"/>
      <c r="AFZ90" s="2"/>
      <c r="AGA90" s="2"/>
      <c r="AGB90" s="2"/>
      <c r="AGC90" s="2"/>
      <c r="AGD90" s="2"/>
      <c r="AGE90" s="2"/>
      <c r="AGF90" s="2"/>
      <c r="AGG90" s="2"/>
      <c r="AGH90" s="2"/>
      <c r="AGI90" s="2"/>
      <c r="AGJ90" s="2"/>
      <c r="AGK90" s="2"/>
      <c r="AGL90" s="2"/>
      <c r="AGM90" s="2"/>
      <c r="AGN90" s="2"/>
      <c r="AGO90" s="2"/>
      <c r="AGP90" s="2"/>
      <c r="AGQ90" s="2"/>
      <c r="AGR90" s="2"/>
      <c r="AGS90" s="2"/>
      <c r="AGT90" s="2"/>
      <c r="AGU90" s="2"/>
      <c r="AGV90" s="2"/>
      <c r="AGW90" s="2"/>
      <c r="AGX90" s="2"/>
      <c r="AGY90" s="2"/>
      <c r="AGZ90" s="2"/>
      <c r="AHA90" s="2"/>
      <c r="AHB90" s="2"/>
      <c r="AHC90" s="2"/>
      <c r="AHD90" s="2"/>
      <c r="AHE90" s="2"/>
      <c r="AHF90" s="2"/>
      <c r="AHG90" s="2"/>
      <c r="AHH90" s="2"/>
      <c r="AHI90" s="2"/>
      <c r="AHJ90" s="2"/>
      <c r="AHK90" s="2"/>
      <c r="AHL90" s="2"/>
      <c r="AHM90" s="2"/>
      <c r="AHN90" s="2"/>
      <c r="AHO90" s="2"/>
      <c r="AHP90" s="2"/>
      <c r="AHQ90" s="2"/>
      <c r="AHR90" s="2"/>
      <c r="AHS90" s="2"/>
      <c r="AHT90" s="2"/>
      <c r="AHU90" s="2"/>
      <c r="AHV90" s="2"/>
      <c r="AHW90" s="2"/>
      <c r="AHX90" s="2"/>
      <c r="AHY90" s="2"/>
      <c r="AHZ90" s="2"/>
      <c r="AIA90" s="2"/>
      <c r="AIB90" s="2"/>
      <c r="AIC90" s="2"/>
      <c r="AID90" s="2"/>
      <c r="AIE90" s="2"/>
      <c r="AIF90" s="2"/>
      <c r="AIG90" s="2"/>
      <c r="AIH90" s="2"/>
      <c r="AII90" s="2"/>
      <c r="AIJ90" s="2"/>
      <c r="AIK90" s="2"/>
      <c r="AIL90" s="2"/>
      <c r="AIM90" s="2"/>
      <c r="AIN90" s="2"/>
      <c r="AIO90" s="2"/>
      <c r="AIP90" s="2"/>
      <c r="AIQ90" s="2"/>
      <c r="AIR90" s="2"/>
      <c r="AIS90" s="2"/>
      <c r="AIT90" s="2"/>
      <c r="AIU90" s="2"/>
      <c r="AIV90" s="2"/>
      <c r="AIW90" s="2"/>
      <c r="AIX90" s="2"/>
      <c r="AIY90" s="2"/>
      <c r="AIZ90" s="2"/>
      <c r="AJA90" s="2"/>
      <c r="AJB90" s="2"/>
      <c r="AJC90" s="2"/>
      <c r="AJD90" s="2"/>
      <c r="AJE90" s="2"/>
      <c r="AJF90" s="2"/>
      <c r="AJG90" s="2"/>
      <c r="AJH90" s="2"/>
      <c r="AJI90" s="2"/>
      <c r="AJJ90" s="2"/>
      <c r="AJK90" s="2"/>
      <c r="AJL90" s="2"/>
      <c r="AJM90" s="2"/>
      <c r="AJN90" s="2"/>
      <c r="AJO90" s="2"/>
      <c r="AJP90" s="2"/>
      <c r="AJQ90" s="2"/>
      <c r="AJR90" s="2"/>
      <c r="AJS90" s="2"/>
      <c r="AJT90" s="2"/>
      <c r="AJU90" s="2"/>
      <c r="AJV90" s="2"/>
      <c r="AJW90" s="2"/>
      <c r="AJX90" s="2"/>
      <c r="AJY90" s="2"/>
      <c r="AJZ90" s="2"/>
      <c r="AKA90" s="2"/>
      <c r="AKB90" s="2"/>
      <c r="AKC90" s="2"/>
      <c r="AKD90" s="2"/>
      <c r="AKE90" s="2"/>
      <c r="AKF90" s="2"/>
      <c r="AKG90" s="2"/>
      <c r="AKH90" s="2"/>
      <c r="AKI90" s="2"/>
      <c r="AKJ90" s="2"/>
      <c r="AKK90" s="2"/>
      <c r="AKL90" s="2"/>
      <c r="AKM90" s="2"/>
      <c r="AKN90" s="2"/>
      <c r="AKO90" s="2"/>
      <c r="AKP90" s="2"/>
      <c r="AKQ90" s="2"/>
      <c r="AKR90" s="2"/>
      <c r="AKS90" s="2"/>
      <c r="AKT90" s="2"/>
      <c r="AKU90" s="2"/>
      <c r="AKV90" s="2"/>
      <c r="AKW90" s="2"/>
      <c r="AKX90" s="2"/>
      <c r="AKY90" s="2"/>
      <c r="AKZ90" s="2"/>
      <c r="ALA90" s="2"/>
      <c r="ALB90" s="2"/>
      <c r="ALC90" s="2"/>
      <c r="ALD90" s="2"/>
      <c r="ALE90" s="2"/>
      <c r="ALF90" s="2"/>
      <c r="ALG90" s="2"/>
      <c r="ALH90" s="2"/>
      <c r="ALI90" s="2"/>
      <c r="ALJ90" s="2"/>
      <c r="ALK90" s="2"/>
      <c r="ALL90" s="2"/>
      <c r="ALM90" s="2"/>
      <c r="ALN90" s="2"/>
      <c r="ALO90" s="2"/>
      <c r="ALP90" s="2"/>
      <c r="ALQ90" s="2"/>
      <c r="ALR90" s="2"/>
      <c r="ALS90" s="2"/>
      <c r="ALT90" s="2"/>
      <c r="ALU90" s="2"/>
      <c r="ALV90" s="2"/>
      <c r="ALW90" s="2"/>
      <c r="ALX90" s="2"/>
      <c r="ALY90" s="2"/>
      <c r="ALZ90" s="2"/>
      <c r="AMA90" s="2"/>
      <c r="AMB90" s="2"/>
      <c r="AMC90" s="2"/>
      <c r="AMD90" s="2"/>
      <c r="AME90" s="2"/>
      <c r="AMF90" s="2"/>
      <c r="AMG90" s="2"/>
      <c r="AMH90" s="2"/>
      <c r="AMI90" s="2"/>
      <c r="AMJ90" s="2"/>
    </row>
    <row r="91" spans="1:1024">
      <c r="A91" s="16" t="s">
        <v>59</v>
      </c>
      <c r="B91" s="8"/>
      <c r="C91" s="9"/>
      <c r="D91" s="9"/>
      <c r="E91" s="15">
        <f>D52</f>
        <v>3400</v>
      </c>
      <c r="F91" s="9"/>
      <c r="G91" s="9"/>
      <c r="H91" s="9"/>
      <c r="I91" s="9"/>
      <c r="J91" s="9"/>
      <c r="K91" s="9"/>
      <c r="L91" s="9"/>
      <c r="M91" s="9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  <c r="ACG91" s="2"/>
      <c r="ACH91" s="2"/>
      <c r="ACI91" s="2"/>
      <c r="ACJ91" s="2"/>
      <c r="ACK91" s="2"/>
      <c r="ACL91" s="2"/>
      <c r="ACM91" s="2"/>
      <c r="ACN91" s="2"/>
      <c r="ACO91" s="2"/>
      <c r="ACP91" s="2"/>
      <c r="ACQ91" s="2"/>
      <c r="ACR91" s="2"/>
      <c r="ACS91" s="2"/>
      <c r="ACT91" s="2"/>
      <c r="ACU91" s="2"/>
      <c r="ACV91" s="2"/>
      <c r="ACW91" s="2"/>
      <c r="ACX91" s="2"/>
      <c r="ACY91" s="2"/>
      <c r="ACZ91" s="2"/>
      <c r="ADA91" s="2"/>
      <c r="ADB91" s="2"/>
      <c r="ADC91" s="2"/>
      <c r="ADD91" s="2"/>
      <c r="ADE91" s="2"/>
      <c r="ADF91" s="2"/>
      <c r="ADG91" s="2"/>
      <c r="ADH91" s="2"/>
      <c r="ADI91" s="2"/>
      <c r="ADJ91" s="2"/>
      <c r="ADK91" s="2"/>
      <c r="ADL91" s="2"/>
      <c r="ADM91" s="2"/>
      <c r="ADN91" s="2"/>
      <c r="ADO91" s="2"/>
      <c r="ADP91" s="2"/>
      <c r="ADQ91" s="2"/>
      <c r="ADR91" s="2"/>
      <c r="ADS91" s="2"/>
      <c r="ADT91" s="2"/>
      <c r="ADU91" s="2"/>
      <c r="ADV91" s="2"/>
      <c r="ADW91" s="2"/>
      <c r="ADX91" s="2"/>
      <c r="ADY91" s="2"/>
      <c r="ADZ91" s="2"/>
      <c r="AEA91" s="2"/>
      <c r="AEB91" s="2"/>
      <c r="AEC91" s="2"/>
      <c r="AED91" s="2"/>
      <c r="AEE91" s="2"/>
      <c r="AEF91" s="2"/>
      <c r="AEG91" s="2"/>
      <c r="AEH91" s="2"/>
      <c r="AEI91" s="2"/>
      <c r="AEJ91" s="2"/>
      <c r="AEK91" s="2"/>
      <c r="AEL91" s="2"/>
      <c r="AEM91" s="2"/>
      <c r="AEN91" s="2"/>
      <c r="AEO91" s="2"/>
      <c r="AEP91" s="2"/>
      <c r="AEQ91" s="2"/>
      <c r="AER91" s="2"/>
      <c r="AES91" s="2"/>
      <c r="AET91" s="2"/>
      <c r="AEU91" s="2"/>
      <c r="AEV91" s="2"/>
      <c r="AEW91" s="2"/>
      <c r="AEX91" s="2"/>
      <c r="AEY91" s="2"/>
      <c r="AEZ91" s="2"/>
      <c r="AFA91" s="2"/>
      <c r="AFB91" s="2"/>
      <c r="AFC91" s="2"/>
      <c r="AFD91" s="2"/>
      <c r="AFE91" s="2"/>
      <c r="AFF91" s="2"/>
      <c r="AFG91" s="2"/>
      <c r="AFH91" s="2"/>
      <c r="AFI91" s="2"/>
      <c r="AFJ91" s="2"/>
      <c r="AFK91" s="2"/>
      <c r="AFL91" s="2"/>
      <c r="AFM91" s="2"/>
      <c r="AFN91" s="2"/>
      <c r="AFO91" s="2"/>
      <c r="AFP91" s="2"/>
      <c r="AFQ91" s="2"/>
      <c r="AFR91" s="2"/>
      <c r="AFS91" s="2"/>
      <c r="AFT91" s="2"/>
      <c r="AFU91" s="2"/>
      <c r="AFV91" s="2"/>
      <c r="AFW91" s="2"/>
      <c r="AFX91" s="2"/>
      <c r="AFY91" s="2"/>
      <c r="AFZ91" s="2"/>
      <c r="AGA91" s="2"/>
      <c r="AGB91" s="2"/>
      <c r="AGC91" s="2"/>
      <c r="AGD91" s="2"/>
      <c r="AGE91" s="2"/>
      <c r="AGF91" s="2"/>
      <c r="AGG91" s="2"/>
      <c r="AGH91" s="2"/>
      <c r="AGI91" s="2"/>
      <c r="AGJ91" s="2"/>
      <c r="AGK91" s="2"/>
      <c r="AGL91" s="2"/>
      <c r="AGM91" s="2"/>
      <c r="AGN91" s="2"/>
      <c r="AGO91" s="2"/>
      <c r="AGP91" s="2"/>
      <c r="AGQ91" s="2"/>
      <c r="AGR91" s="2"/>
      <c r="AGS91" s="2"/>
      <c r="AGT91" s="2"/>
      <c r="AGU91" s="2"/>
      <c r="AGV91" s="2"/>
      <c r="AGW91" s="2"/>
      <c r="AGX91" s="2"/>
      <c r="AGY91" s="2"/>
      <c r="AGZ91" s="2"/>
      <c r="AHA91" s="2"/>
      <c r="AHB91" s="2"/>
      <c r="AHC91" s="2"/>
      <c r="AHD91" s="2"/>
      <c r="AHE91" s="2"/>
      <c r="AHF91" s="2"/>
      <c r="AHG91" s="2"/>
      <c r="AHH91" s="2"/>
      <c r="AHI91" s="2"/>
      <c r="AHJ91" s="2"/>
      <c r="AHK91" s="2"/>
      <c r="AHL91" s="2"/>
      <c r="AHM91" s="2"/>
      <c r="AHN91" s="2"/>
      <c r="AHO91" s="2"/>
      <c r="AHP91" s="2"/>
      <c r="AHQ91" s="2"/>
      <c r="AHR91" s="2"/>
      <c r="AHS91" s="2"/>
      <c r="AHT91" s="2"/>
      <c r="AHU91" s="2"/>
      <c r="AHV91" s="2"/>
      <c r="AHW91" s="2"/>
      <c r="AHX91" s="2"/>
      <c r="AHY91" s="2"/>
      <c r="AHZ91" s="2"/>
      <c r="AIA91" s="2"/>
      <c r="AIB91" s="2"/>
      <c r="AIC91" s="2"/>
      <c r="AID91" s="2"/>
      <c r="AIE91" s="2"/>
      <c r="AIF91" s="2"/>
      <c r="AIG91" s="2"/>
      <c r="AIH91" s="2"/>
      <c r="AII91" s="2"/>
      <c r="AIJ91" s="2"/>
      <c r="AIK91" s="2"/>
      <c r="AIL91" s="2"/>
      <c r="AIM91" s="2"/>
      <c r="AIN91" s="2"/>
      <c r="AIO91" s="2"/>
      <c r="AIP91" s="2"/>
      <c r="AIQ91" s="2"/>
      <c r="AIR91" s="2"/>
      <c r="AIS91" s="2"/>
      <c r="AIT91" s="2"/>
      <c r="AIU91" s="2"/>
      <c r="AIV91" s="2"/>
      <c r="AIW91" s="2"/>
      <c r="AIX91" s="2"/>
      <c r="AIY91" s="2"/>
      <c r="AIZ91" s="2"/>
      <c r="AJA91" s="2"/>
      <c r="AJB91" s="2"/>
      <c r="AJC91" s="2"/>
      <c r="AJD91" s="2"/>
      <c r="AJE91" s="2"/>
      <c r="AJF91" s="2"/>
      <c r="AJG91" s="2"/>
      <c r="AJH91" s="2"/>
      <c r="AJI91" s="2"/>
      <c r="AJJ91" s="2"/>
      <c r="AJK91" s="2"/>
      <c r="AJL91" s="2"/>
      <c r="AJM91" s="2"/>
      <c r="AJN91" s="2"/>
      <c r="AJO91" s="2"/>
      <c r="AJP91" s="2"/>
      <c r="AJQ91" s="2"/>
      <c r="AJR91" s="2"/>
      <c r="AJS91" s="2"/>
      <c r="AJT91" s="2"/>
      <c r="AJU91" s="2"/>
      <c r="AJV91" s="2"/>
      <c r="AJW91" s="2"/>
      <c r="AJX91" s="2"/>
      <c r="AJY91" s="2"/>
      <c r="AJZ91" s="2"/>
      <c r="AKA91" s="2"/>
      <c r="AKB91" s="2"/>
      <c r="AKC91" s="2"/>
      <c r="AKD91" s="2"/>
      <c r="AKE91" s="2"/>
      <c r="AKF91" s="2"/>
      <c r="AKG91" s="2"/>
      <c r="AKH91" s="2"/>
      <c r="AKI91" s="2"/>
      <c r="AKJ91" s="2"/>
      <c r="AKK91" s="2"/>
      <c r="AKL91" s="2"/>
      <c r="AKM91" s="2"/>
      <c r="AKN91" s="2"/>
      <c r="AKO91" s="2"/>
      <c r="AKP91" s="2"/>
      <c r="AKQ91" s="2"/>
      <c r="AKR91" s="2"/>
      <c r="AKS91" s="2"/>
      <c r="AKT91" s="2"/>
      <c r="AKU91" s="2"/>
      <c r="AKV91" s="2"/>
      <c r="AKW91" s="2"/>
      <c r="AKX91" s="2"/>
      <c r="AKY91" s="2"/>
      <c r="AKZ91" s="2"/>
      <c r="ALA91" s="2"/>
      <c r="ALB91" s="2"/>
      <c r="ALC91" s="2"/>
      <c r="ALD91" s="2"/>
      <c r="ALE91" s="2"/>
      <c r="ALF91" s="2"/>
      <c r="ALG91" s="2"/>
      <c r="ALH91" s="2"/>
      <c r="ALI91" s="2"/>
      <c r="ALJ91" s="2"/>
      <c r="ALK91" s="2"/>
      <c r="ALL91" s="2"/>
      <c r="ALM91" s="2"/>
      <c r="ALN91" s="2"/>
      <c r="ALO91" s="2"/>
      <c r="ALP91" s="2"/>
      <c r="ALQ91" s="2"/>
      <c r="ALR91" s="2"/>
      <c r="ALS91" s="2"/>
      <c r="ALT91" s="2"/>
      <c r="ALU91" s="2"/>
      <c r="ALV91" s="2"/>
      <c r="ALW91" s="2"/>
      <c r="ALX91" s="2"/>
      <c r="ALY91" s="2"/>
      <c r="ALZ91" s="2"/>
      <c r="AMA91" s="2"/>
      <c r="AMB91" s="2"/>
      <c r="AMC91" s="2"/>
      <c r="AMD91" s="2"/>
      <c r="AME91" s="2"/>
      <c r="AMF91" s="2"/>
      <c r="AMG91" s="2"/>
      <c r="AMH91" s="2"/>
      <c r="AMI91" s="2"/>
      <c r="AMJ91" s="2"/>
    </row>
    <row r="92" spans="1:1024">
      <c r="B92" s="8"/>
      <c r="C92" s="10">
        <f>SUM(C55:C91)</f>
        <v>525000</v>
      </c>
      <c r="D92" s="10">
        <f t="shared" ref="D92:M92" si="1">SUM(D55:D91)</f>
        <v>312000</v>
      </c>
      <c r="E92" s="10">
        <f t="shared" si="1"/>
        <v>72400</v>
      </c>
      <c r="F92" s="10">
        <f t="shared" si="1"/>
        <v>25000</v>
      </c>
      <c r="G92" s="10">
        <f t="shared" si="1"/>
        <v>628000</v>
      </c>
      <c r="H92" s="10">
        <f t="shared" si="1"/>
        <v>820000</v>
      </c>
      <c r="I92" s="10">
        <f t="shared" si="1"/>
        <v>355000</v>
      </c>
      <c r="J92" s="10">
        <f t="shared" si="1"/>
        <v>23000</v>
      </c>
      <c r="K92" s="10">
        <f t="shared" si="1"/>
        <v>332400</v>
      </c>
      <c r="L92" s="10">
        <f t="shared" si="1"/>
        <v>15000</v>
      </c>
      <c r="M92" s="10">
        <f t="shared" si="1"/>
        <v>17000</v>
      </c>
    </row>
    <row r="94" spans="1:1024">
      <c r="A94" s="5" t="s">
        <v>45</v>
      </c>
      <c r="C94" s="5">
        <f>C92+D92+I92+J92+K92+L92-E92-F92-G92-H92-M92</f>
        <v>0</v>
      </c>
    </row>
  </sheetData>
  <pageMargins left="0" right="0" top="0.39374999999999999" bottom="0.39374999999999999" header="0" footer="0"/>
  <pageSetup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Q1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Tsaban</dc:creator>
  <cp:lastModifiedBy>עדי ריינהולד</cp:lastModifiedBy>
  <cp:revision>1</cp:revision>
  <dcterms:created xsi:type="dcterms:W3CDTF">2019-02-27T21:42:24Z</dcterms:created>
  <dcterms:modified xsi:type="dcterms:W3CDTF">2021-02-03T09:25:57Z</dcterms:modified>
</cp:coreProperties>
</file>