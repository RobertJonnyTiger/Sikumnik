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filterPrivacy="1" defaultThemeVersion="124226"/>
  <xr:revisionPtr revIDLastSave="0" documentId="13_ncr:1_{D89D20B5-2BF0-4F40-BAF7-3D05364C60CF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שאלה 1 - עריכת דוחות כספיים" sheetId="9" r:id="rId1"/>
    <sheet name="שאלה 2 רכוש קבוע" sheetId="11" r:id="rId2"/>
    <sheet name="שאלה  3 - לקוחות " sheetId="7" r:id="rId3"/>
    <sheet name="שאלה 4 - מלאי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1" l="1"/>
  <c r="C13" i="11" s="1"/>
  <c r="C12" i="11"/>
  <c r="L62" i="10" l="1"/>
  <c r="C24" i="10" l="1"/>
  <c r="F31" i="10" s="1"/>
  <c r="C19" i="10"/>
  <c r="C8" i="9"/>
  <c r="C5" i="9"/>
  <c r="G61" i="11" l="1"/>
  <c r="C50" i="11"/>
  <c r="C51" i="11" s="1"/>
  <c r="B50" i="11"/>
  <c r="B51" i="11" s="1"/>
  <c r="E49" i="11"/>
  <c r="B39" i="11"/>
  <c r="B40" i="11" s="1"/>
  <c r="B43" i="11" s="1"/>
  <c r="B44" i="11" s="1"/>
  <c r="B29" i="11"/>
  <c r="B30" i="11" s="1"/>
  <c r="B33" i="11" s="1"/>
  <c r="B34" i="11" s="1"/>
  <c r="C21" i="11"/>
  <c r="D50" i="11" s="1"/>
  <c r="D51" i="11" s="1"/>
  <c r="C20" i="11"/>
  <c r="C22" i="11" s="1"/>
  <c r="J61" i="7"/>
  <c r="B28" i="7"/>
  <c r="E26" i="7"/>
  <c r="F22" i="7"/>
  <c r="F24" i="7" s="1"/>
  <c r="H23" i="7" s="1"/>
  <c r="B14" i="7"/>
  <c r="B22" i="7" s="1"/>
  <c r="C12" i="7"/>
  <c r="F10" i="7"/>
  <c r="F51" i="10"/>
  <c r="F30" i="10"/>
  <c r="E10" i="10"/>
  <c r="F29" i="10" s="1"/>
  <c r="E50" i="11" l="1"/>
  <c r="E51" i="11" s="1"/>
  <c r="C24" i="11"/>
  <c r="F32" i="10"/>
  <c r="F52" i="10" s="1"/>
  <c r="F53" i="10" s="1"/>
  <c r="G53" i="10" s="1"/>
  <c r="C47" i="7"/>
  <c r="B49" i="7"/>
  <c r="B50" i="7" s="1"/>
  <c r="C24" i="7"/>
  <c r="B9" i="7"/>
  <c r="E11" i="10"/>
  <c r="I9" i="10" s="1"/>
  <c r="I10" i="10" s="1"/>
  <c r="H13" i="10" s="1"/>
  <c r="C71" i="9"/>
  <c r="C65" i="9"/>
  <c r="E21" i="9"/>
  <c r="C15" i="9"/>
  <c r="C14" i="9"/>
  <c r="D36" i="9" s="1"/>
  <c r="C11" i="9"/>
  <c r="C79" i="9" s="1"/>
  <c r="C9" i="9"/>
  <c r="C83" i="9" s="1"/>
  <c r="C84" i="9" s="1"/>
  <c r="C6" i="9"/>
  <c r="C22" i="9" s="1"/>
  <c r="C75" i="9"/>
  <c r="C80" i="9" l="1"/>
  <c r="C66" i="9"/>
  <c r="D45" i="9"/>
  <c r="C58" i="9"/>
  <c r="E54" i="9"/>
  <c r="C57" i="9" s="1"/>
  <c r="C54" i="9"/>
  <c r="D40" i="9" s="1"/>
  <c r="D37" i="9"/>
  <c r="C27" i="9" s="1"/>
  <c r="B37" i="9"/>
  <c r="C21" i="9" s="1"/>
  <c r="C24" i="9" s="1"/>
  <c r="C12" i="9"/>
  <c r="E22" i="9" s="1"/>
  <c r="E24" i="9" s="1"/>
  <c r="B41" i="7"/>
  <c r="C30" i="9" l="1"/>
  <c r="B40" i="7"/>
  <c r="B42" i="7" s="1"/>
  <c r="C59" i="9"/>
  <c r="D41" i="9" s="1"/>
  <c r="D42" i="9" s="1"/>
  <c r="C68" i="9"/>
  <c r="D43" i="9" s="1"/>
  <c r="D44" i="9"/>
  <c r="D46" i="9" l="1"/>
  <c r="D48" i="9" s="1"/>
  <c r="F36" i="9" l="1"/>
  <c r="F37" i="9" s="1"/>
  <c r="E28" i="9" s="1"/>
  <c r="E29" i="9" s="1"/>
  <c r="E30" i="9" s="1"/>
  <c r="G85" i="9" l="1"/>
</calcChain>
</file>

<file path=xl/sharedStrings.xml><?xml version="1.0" encoding="utf-8"?>
<sst xmlns="http://schemas.openxmlformats.org/spreadsheetml/2006/main" count="242" uniqueCount="194">
  <si>
    <t>מלאי פתיחה</t>
  </si>
  <si>
    <t>רווח גולמי</t>
  </si>
  <si>
    <t>מכירות</t>
  </si>
  <si>
    <t>החזרות מלקוחות</t>
  </si>
  <si>
    <t>לקוחות</t>
  </si>
  <si>
    <t>הפרשה לחומ"ס</t>
  </si>
  <si>
    <t>נדרש 1</t>
  </si>
  <si>
    <t>נדרש 2</t>
  </si>
  <si>
    <t>נדרש 3</t>
  </si>
  <si>
    <t>נדרש 4</t>
  </si>
  <si>
    <t>מכירות באשראי</t>
  </si>
  <si>
    <t xml:space="preserve">לקוחות </t>
  </si>
  <si>
    <t xml:space="preserve">הוצאות חומ"ס </t>
  </si>
  <si>
    <t>חוב אבוד</t>
  </si>
  <si>
    <t xml:space="preserve"> הוצאות חומ"ס P.N</t>
  </si>
  <si>
    <t>גביה במזומן (P.N)</t>
  </si>
  <si>
    <t>לקוחות, נטו</t>
  </si>
  <si>
    <t>קניות</t>
  </si>
  <si>
    <t>ניקוד</t>
  </si>
  <si>
    <t>שאלה 1 - עריכת דוחות כספיים</t>
  </si>
  <si>
    <t xml:space="preserve">חלק א </t>
  </si>
  <si>
    <t xml:space="preserve">נדרש 1: </t>
  </si>
  <si>
    <t>פקודות יומן -</t>
  </si>
  <si>
    <t>ח הוצאות חשמל</t>
  </si>
  <si>
    <t>ז הוצאות לשלם</t>
  </si>
  <si>
    <t>נדרש 2 - דוחות כספיים</t>
  </si>
  <si>
    <t>נכסים שוטפים</t>
  </si>
  <si>
    <t>התחייבויות שוטפות</t>
  </si>
  <si>
    <t>לאחר עדכון</t>
  </si>
  <si>
    <t>לקוחות, נטו (1)</t>
  </si>
  <si>
    <t>הוצאות לשלם</t>
  </si>
  <si>
    <t>הלוואה לז"ק</t>
  </si>
  <si>
    <t>הכנסות מראש</t>
  </si>
  <si>
    <t>מלאי סגירה</t>
  </si>
  <si>
    <t>נכסים לא שוטפים</t>
  </si>
  <si>
    <t>הון עצמי</t>
  </si>
  <si>
    <t>רכוש קבוע, נטו (2)</t>
  </si>
  <si>
    <t>הון מניות</t>
  </si>
  <si>
    <t>לקוחות , נטו (1)</t>
  </si>
  <si>
    <t xml:space="preserve">יתרת רווח /עודפים </t>
  </si>
  <si>
    <t>כלי רכב - עלות</t>
  </si>
  <si>
    <t>י. פ עודפים</t>
  </si>
  <si>
    <t xml:space="preserve">הפרשה לחומ"ס </t>
  </si>
  <si>
    <t>כלי רכב - פחת שנצבר</t>
  </si>
  <si>
    <t>רווח כולל לתקופה</t>
  </si>
  <si>
    <t>לא נדרש להציג!</t>
  </si>
  <si>
    <t>מכירות , נטו (1)</t>
  </si>
  <si>
    <t>עלות המכירות  (3)+(2)</t>
  </si>
  <si>
    <t>הוצאות מכירה ושיווק (4)</t>
  </si>
  <si>
    <t>הוצאות הנהל"כ (5)</t>
  </si>
  <si>
    <t>הכנסות אחרות</t>
  </si>
  <si>
    <t>מכירות,נטו (1)</t>
  </si>
  <si>
    <t>קניות נטו (3)</t>
  </si>
  <si>
    <t xml:space="preserve">קניות </t>
  </si>
  <si>
    <t>עלות המכירות (2)</t>
  </si>
  <si>
    <t>קניות, נטו (5)</t>
  </si>
  <si>
    <t>ארנונה</t>
  </si>
  <si>
    <t>משכורת</t>
  </si>
  <si>
    <t>תקשורת</t>
  </si>
  <si>
    <t>פחת רכבים</t>
  </si>
  <si>
    <t>חשמל</t>
  </si>
  <si>
    <t>הכנסות אחרות (6)</t>
  </si>
  <si>
    <t>סה"כ :</t>
  </si>
  <si>
    <t>זכאים</t>
  </si>
  <si>
    <t>הפסד תפעולי</t>
  </si>
  <si>
    <t>הפסד נקי</t>
  </si>
  <si>
    <t xml:space="preserve">יתרת רווח/ עודפים </t>
  </si>
  <si>
    <t>ח. הוצאות ביטוח</t>
  </si>
  <si>
    <t>ז. הוצאות ביטוח מראש</t>
  </si>
  <si>
    <t>48,000/36*9 =</t>
  </si>
  <si>
    <t>ח. הכנסות תיווך מראש</t>
  </si>
  <si>
    <t xml:space="preserve">ז. הכנסות תיווך </t>
  </si>
  <si>
    <t>240,000/15*3 =</t>
  </si>
  <si>
    <t>60,000/10*2 =</t>
  </si>
  <si>
    <t>ח.הוצאות פחת כלי רכב</t>
  </si>
  <si>
    <t>ז. פחת שנצבר כלי רכב</t>
  </si>
  <si>
    <t>360,000 *(5/15*9/12+4/15*3/12)=</t>
  </si>
  <si>
    <t>עו"ש</t>
  </si>
  <si>
    <t>הוצאות מראש</t>
  </si>
  <si>
    <t>מאזן ליום ה- 31.12.2015  - חברת "קלצונה" בע"מ</t>
  </si>
  <si>
    <t>דו"ח רווח והפסד לשנה שנסתיימה ב- 31.12.15 - חברת "קלצונה" בע"מ</t>
  </si>
  <si>
    <t>שיווק</t>
  </si>
  <si>
    <t>אחזקת רכב</t>
  </si>
  <si>
    <t>עמלות לסוכני מכירות</t>
  </si>
  <si>
    <t>ביטוח</t>
  </si>
  <si>
    <t xml:space="preserve">חומ"ס </t>
  </si>
  <si>
    <t>אירוח</t>
  </si>
  <si>
    <t>הכנסות מתיווך</t>
  </si>
  <si>
    <t>הכנסות מייעוץ</t>
  </si>
  <si>
    <t>הוצאות מימון</t>
  </si>
  <si>
    <t xml:space="preserve">ביאורים לדוחות </t>
  </si>
  <si>
    <t>ע. המכר:</t>
  </si>
  <si>
    <t>רווח גולמי:</t>
  </si>
  <si>
    <t>מכירות נטו</t>
  </si>
  <si>
    <t>(עלות המכר)</t>
  </si>
  <si>
    <t>(מלאי סגירה)</t>
  </si>
  <si>
    <t>עלות המכר</t>
  </si>
  <si>
    <t>אחוז הרווח הגולמי:</t>
  </si>
  <si>
    <t>184/736</t>
  </si>
  <si>
    <t>נחשב את עלות המכר לשנת 2014:</t>
  </si>
  <si>
    <t>חישוב מלאי סגירה לפי FIFO:</t>
  </si>
  <si>
    <t>70*4.5+50*4+40*4.2</t>
  </si>
  <si>
    <t>יחידות שנשארו במלאי:</t>
  </si>
  <si>
    <t>28+70-50+50-50-38+40=</t>
  </si>
  <si>
    <t>40*4.2=168</t>
  </si>
  <si>
    <t>10*4=40</t>
  </si>
  <si>
    <t>סה"כ מלאי סגירה:</t>
  </si>
  <si>
    <t xml:space="preserve">נמצא את סך המכירות לשנת 2014 לפי אחוז עלות המכר </t>
  </si>
  <si>
    <t>168+40=</t>
  </si>
  <si>
    <t>מכירות:</t>
  </si>
  <si>
    <t>50*5.64+50*6.2+38X</t>
  </si>
  <si>
    <t>מכיוון שידוע שעלות המכר מהווה 75% מהמכירות נפתור משוואה עם נעלם אחד:</t>
  </si>
  <si>
    <t>0.75(50*5.64+50*6.2+38X)=615</t>
  </si>
  <si>
    <t>X=6</t>
  </si>
  <si>
    <t>מכאן אנו יודעים כי המכירה יהיה 6 שקלים במכירה שנעשה ב7.10.</t>
  </si>
  <si>
    <t>50*5.64+50*6.2+38*6=</t>
  </si>
  <si>
    <t>במקרה ובו יש ירידת ערך מהותית , השווי מימוש נטו מפחית את מלאי הסגירה. אם מלאי הסגירה קטן עלות המכר גדלה ומכאן שהרווח הגולמי נשחק.</t>
  </si>
  <si>
    <t>נתון כי אחוז הרווח הגולמי הינו קבוע ולכן נחשב את האחוז לשנת 2013:</t>
  </si>
  <si>
    <t>31.12.2014</t>
  </si>
  <si>
    <t>י.פ. 1.1.14</t>
  </si>
  <si>
    <t>י.ס. 31.12.14</t>
  </si>
  <si>
    <t>חושב בעזרת שיחזור מיתרת הפרשה</t>
  </si>
  <si>
    <t>לחומ"ס  ליום 31.12.14</t>
  </si>
  <si>
    <t>מכירות באשראי (P.N)</t>
  </si>
  <si>
    <t>סך הגבייה במזומן בשנת 2015 :</t>
  </si>
  <si>
    <t>31.12.15</t>
  </si>
  <si>
    <t>י.פ. 1.1.15</t>
  </si>
  <si>
    <t>י.ס. 31.12.16</t>
  </si>
  <si>
    <t>י.ס. 31.12.15</t>
  </si>
  <si>
    <t>לחומ"ס  ליום 31.12.15</t>
  </si>
  <si>
    <t xml:space="preserve">ביאור לקוחות, נטו     31.12.2015  </t>
  </si>
  <si>
    <t>סך הוצאות חומ"ס לשנת 2015 -</t>
  </si>
  <si>
    <t>מחיר מכירה</t>
  </si>
  <si>
    <t>מחיר עלות</t>
  </si>
  <si>
    <t>8,000/80% =</t>
  </si>
  <si>
    <t>ח. הוצאות חומ"ס</t>
  </si>
  <si>
    <t>ז. הפרשה לחומ"ס</t>
  </si>
  <si>
    <t xml:space="preserve">שאלה 3 - לקוחות </t>
  </si>
  <si>
    <t>נדרש 5</t>
  </si>
  <si>
    <t xml:space="preserve">ח. עו"ש </t>
  </si>
  <si>
    <t>ז. הכנסות ע"ח שנים קודמות</t>
  </si>
  <si>
    <t>כלכלן החברה טועה</t>
  </si>
  <si>
    <t>שאלה 4 - מלאי</t>
  </si>
  <si>
    <t>שאלה 2  רכוש קבוע</t>
  </si>
  <si>
    <t>X*2/3*4%*10/12=12,000</t>
  </si>
  <si>
    <t>X=540,000</t>
  </si>
  <si>
    <t xml:space="preserve">נדרש 1 - עלות רכישת המבנה </t>
  </si>
  <si>
    <t xml:space="preserve">נדרש 2 - הוצאות פחת לשנת 2016 </t>
  </si>
  <si>
    <t xml:space="preserve">מבנה </t>
  </si>
  <si>
    <t>מבנה שנשאר</t>
  </si>
  <si>
    <t>מבנה שנמכר</t>
  </si>
  <si>
    <t>מכונות</t>
  </si>
  <si>
    <t>245,000*(5/15*6/12+4/15*6/12)=</t>
  </si>
  <si>
    <t xml:space="preserve">כלי רכב </t>
  </si>
  <si>
    <t>רכב ישן</t>
  </si>
  <si>
    <t>רכב חדש</t>
  </si>
  <si>
    <t>120,000*12.5%*7/12=</t>
  </si>
  <si>
    <t>3000,000*10%*5/12=</t>
  </si>
  <si>
    <t>סה"כ הוצאות פחת לשנת 2016:</t>
  </si>
  <si>
    <t>נדרש 3 - רווח הון ממכירת רבע מהמבנה</t>
  </si>
  <si>
    <t>עלות</t>
  </si>
  <si>
    <t>פחת שנצבר</t>
  </si>
  <si>
    <t>עלות מופחתת</t>
  </si>
  <si>
    <t>תמורה</t>
  </si>
  <si>
    <t>הפסד הון</t>
  </si>
  <si>
    <t>נדרש 3 - רווח הון ממכירת רכב</t>
  </si>
  <si>
    <t>רווח הון</t>
  </si>
  <si>
    <t>540,000/4=</t>
  </si>
  <si>
    <t>135,000*2/3*4%*16/12=</t>
  </si>
  <si>
    <t>120,000*12.5%*19/12=</t>
  </si>
  <si>
    <t xml:space="preserve">נדרש 4 - ביאור רכוש קבוע </t>
  </si>
  <si>
    <t>מבנה</t>
  </si>
  <si>
    <t>כלי רכב</t>
  </si>
  <si>
    <t>סה"כ</t>
  </si>
  <si>
    <t xml:space="preserve">נדרש 5 </t>
  </si>
  <si>
    <t>חשב החברה טועה</t>
  </si>
  <si>
    <t xml:space="preserve">רכישת רכב נזקפת ע"פ עקרון העלות כנכס במאזן בחברה, כלומר, עלות הרכישה לא משפיעה באופן ישיר על </t>
  </si>
  <si>
    <t>רווח החברה באותה שנה מכיוון שאינה נזקפת בדוח רווח והפסד.</t>
  </si>
  <si>
    <t>יחד עם זאת, ע"פ עקרון ההקבלה יש להכיר ולזקוף הוצאות פחת באופן יחסי בגין הרכב שנרכש בדוח רווח והפסד</t>
  </si>
  <si>
    <t>אך הוצאות הפחת שיזקפו בגין הרכב החדש בשנת 2016 יהיו נמוכות באופן יחסי לעלות , כך שהקיטון ברווח</t>
  </si>
  <si>
    <t>לא יהיה משמעותי .(12,500 לעומת 312,000)</t>
  </si>
  <si>
    <t>נדרש 4:</t>
  </si>
  <si>
    <t>נדרש 1:</t>
  </si>
  <si>
    <t>נדרש 2:</t>
  </si>
  <si>
    <t>נדרש 3:</t>
  </si>
  <si>
    <t>חישוב הרווח הגולמי לשנת 2014:</t>
  </si>
  <si>
    <t>נדרש 5:</t>
  </si>
  <si>
    <t>החזרות לספקים</t>
  </si>
  <si>
    <r>
      <rPr>
        <b/>
        <u/>
        <sz val="12"/>
        <rFont val="David"/>
        <family val="2"/>
        <charset val="177"/>
      </rPr>
      <t>החזרות מלקוחות</t>
    </r>
    <r>
      <rPr>
        <sz val="12"/>
        <rFont val="David"/>
        <family val="2"/>
        <charset val="177"/>
      </rPr>
      <t xml:space="preserve"> -מכיוון שאנו מזכים את הלקוח בהתאם לסכום ששילם יש לתרגם את מחיר העלות למחיר מכירה </t>
    </r>
  </si>
  <si>
    <t>הגולמי לשנת 2014.</t>
  </si>
  <si>
    <t>ע"פ עקרון השמרנות יש להכיר בכל הפסד צפוי לחברה גם אם טרם מומש.במקרה המתואר נוצרה ירידת ערך בשווי מלאי הסגירה</t>
  </si>
  <si>
    <t xml:space="preserve"> ולכן יש להכיר ולזקוף את ערך מלאי הסגירה את כנמוך מבין שווי מימוש,נטו לבין עלות המלאי. דבר שישפיע באופן ישיר על הרווח </t>
  </si>
  <si>
    <t>540,000/4*2/3*4%*6/12=</t>
  </si>
  <si>
    <t>540,000*3/4*2/3*4%*1=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</si>
</sst>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4" x14ac:knownFonts="1"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  <charset val="177"/>
    </font>
    <font>
      <b/>
      <u/>
      <sz val="12"/>
      <color theme="1"/>
      <name val="David"/>
      <family val="2"/>
      <charset val="177"/>
    </font>
    <font>
      <b/>
      <u/>
      <sz val="14"/>
      <color theme="1"/>
      <name val="David"/>
      <family val="2"/>
      <charset val="177"/>
    </font>
    <font>
      <u/>
      <sz val="12"/>
      <color theme="1"/>
      <name val="David"/>
      <family val="2"/>
      <charset val="177"/>
    </font>
    <font>
      <sz val="12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name val="David"/>
      <family val="2"/>
      <charset val="177"/>
    </font>
    <font>
      <u/>
      <sz val="12"/>
      <name val="David"/>
      <family val="2"/>
      <charset val="177"/>
    </font>
    <font>
      <b/>
      <sz val="12"/>
      <color theme="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0"/>
      <color theme="1"/>
      <name val="David"/>
      <family val="2"/>
      <charset val="177"/>
    </font>
    <font>
      <u val="singleAccounting"/>
      <sz val="12"/>
      <color theme="1"/>
      <name val="David"/>
      <family val="2"/>
      <charset val="177"/>
    </font>
    <font>
      <b/>
      <u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u/>
      <sz val="12"/>
      <name val="David"/>
      <family val="2"/>
      <charset val="177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u/>
      <sz val="12"/>
      <color theme="1"/>
      <name val="David"/>
      <family val="2"/>
    </font>
    <font>
      <u/>
      <sz val="12"/>
      <color theme="1"/>
      <name val="David"/>
      <family val="2"/>
    </font>
    <font>
      <u val="singleAccounting"/>
      <sz val="12"/>
      <color theme="1"/>
      <name val="David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43" fontId="1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7" fillId="0" borderId="0"/>
  </cellStyleXfs>
  <cellXfs count="100">
    <xf numFmtId="0" fontId="0" fillId="0" borderId="0" xfId="0"/>
    <xf numFmtId="3" fontId="1" fillId="0" borderId="0" xfId="0" applyNumberFormat="1" applyFont="1"/>
    <xf numFmtId="0" fontId="1" fillId="0" borderId="0" xfId="0" applyFont="1"/>
    <xf numFmtId="3" fontId="2" fillId="2" borderId="0" xfId="0" applyNumberFormat="1" applyFont="1" applyFill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3" fontId="5" fillId="0" borderId="3" xfId="0" applyNumberFormat="1" applyFont="1" applyFill="1" applyBorder="1"/>
    <xf numFmtId="3" fontId="5" fillId="0" borderId="6" xfId="0" applyNumberFormat="1" applyFont="1" applyBorder="1"/>
    <xf numFmtId="3" fontId="5" fillId="0" borderId="0" xfId="0" applyNumberFormat="1" applyFont="1"/>
    <xf numFmtId="0" fontId="5" fillId="0" borderId="6" xfId="0" applyFont="1" applyBorder="1"/>
    <xf numFmtId="0" fontId="5" fillId="0" borderId="0" xfId="0" applyFont="1" applyBorder="1"/>
    <xf numFmtId="3" fontId="5" fillId="0" borderId="3" xfId="0" applyNumberFormat="1" applyFont="1" applyBorder="1"/>
    <xf numFmtId="0" fontId="1" fillId="0" borderId="0" xfId="0" applyFont="1" applyBorder="1"/>
    <xf numFmtId="0" fontId="5" fillId="0" borderId="3" xfId="0" applyFont="1" applyBorder="1"/>
    <xf numFmtId="0" fontId="5" fillId="0" borderId="0" xfId="0" applyFont="1" applyAlignment="1">
      <alignment horizontal="left"/>
    </xf>
    <xf numFmtId="0" fontId="1" fillId="0" borderId="3" xfId="0" applyFont="1" applyBorder="1"/>
    <xf numFmtId="0" fontId="7" fillId="0" borderId="3" xfId="0" applyFont="1" applyFill="1" applyBorder="1"/>
    <xf numFmtId="0" fontId="5" fillId="0" borderId="4" xfId="0" applyFont="1" applyBorder="1"/>
    <xf numFmtId="3" fontId="5" fillId="0" borderId="0" xfId="0" applyNumberFormat="1" applyFont="1" applyBorder="1"/>
    <xf numFmtId="3" fontId="5" fillId="0" borderId="5" xfId="0" applyNumberFormat="1" applyFont="1" applyBorder="1"/>
    <xf numFmtId="3" fontId="5" fillId="0" borderId="0" xfId="0" applyNumberFormat="1" applyFont="1" applyFill="1" applyBorder="1"/>
    <xf numFmtId="3" fontId="8" fillId="0" borderId="0" xfId="0" applyNumberFormat="1" applyFont="1" applyFill="1" applyBorder="1"/>
    <xf numFmtId="0" fontId="9" fillId="0" borderId="0" xfId="0" applyFont="1"/>
    <xf numFmtId="3" fontId="5" fillId="0" borderId="0" xfId="0" applyNumberFormat="1" applyFont="1" applyFill="1"/>
    <xf numFmtId="0" fontId="5" fillId="0" borderId="0" xfId="0" applyFont="1" applyFill="1"/>
    <xf numFmtId="3" fontId="7" fillId="0" borderId="0" xfId="0" applyNumberFormat="1" applyFont="1" applyBorder="1"/>
    <xf numFmtId="3" fontId="6" fillId="0" borderId="0" xfId="0" applyNumberFormat="1" applyFont="1"/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1" fillId="0" borderId="0" xfId="1" applyNumberFormat="1" applyFont="1"/>
    <xf numFmtId="164" fontId="4" fillId="0" borderId="0" xfId="1" applyNumberFormat="1" applyFont="1"/>
    <xf numFmtId="0" fontId="14" fillId="0" borderId="0" xfId="0" applyFont="1" applyFill="1" applyAlignment="1">
      <alignment horizontal="center"/>
    </xf>
    <xf numFmtId="0" fontId="1" fillId="0" borderId="0" xfId="0" applyFont="1" applyFill="1"/>
    <xf numFmtId="164" fontId="15" fillId="0" borderId="0" xfId="1" applyNumberFormat="1" applyFont="1"/>
    <xf numFmtId="0" fontId="0" fillId="0" borderId="0" xfId="0" applyFill="1"/>
    <xf numFmtId="164" fontId="1" fillId="0" borderId="0" xfId="0" applyNumberFormat="1" applyFont="1"/>
    <xf numFmtId="164" fontId="1" fillId="0" borderId="8" xfId="1" applyNumberFormat="1" applyFont="1" applyBorder="1"/>
    <xf numFmtId="0" fontId="4" fillId="0" borderId="0" xfId="0" applyFont="1" applyBorder="1"/>
    <xf numFmtId="164" fontId="1" fillId="0" borderId="0" xfId="1" applyNumberFormat="1" applyFont="1" applyBorder="1"/>
    <xf numFmtId="164" fontId="15" fillId="0" borderId="0" xfId="1" applyNumberFormat="1" applyFont="1" applyBorder="1"/>
    <xf numFmtId="0" fontId="1" fillId="2" borderId="0" xfId="0" applyFont="1" applyFill="1" applyBorder="1"/>
    <xf numFmtId="164" fontId="1" fillId="0" borderId="7" xfId="1" applyNumberFormat="1" applyFont="1" applyBorder="1"/>
    <xf numFmtId="0" fontId="12" fillId="2" borderId="0" xfId="0" applyFont="1" applyFill="1"/>
    <xf numFmtId="0" fontId="16" fillId="0" borderId="0" xfId="0" applyFont="1"/>
    <xf numFmtId="0" fontId="1" fillId="0" borderId="0" xfId="6" applyFont="1"/>
    <xf numFmtId="0" fontId="2" fillId="0" borderId="0" xfId="6" applyFont="1"/>
    <xf numFmtId="0" fontId="4" fillId="0" borderId="0" xfId="6" applyFont="1"/>
    <xf numFmtId="0" fontId="1" fillId="0" borderId="7" xfId="6" applyFont="1" applyBorder="1"/>
    <xf numFmtId="0" fontId="1" fillId="0" borderId="0" xfId="6" applyFont="1" applyAlignment="1">
      <alignment horizontal="right"/>
    </xf>
    <xf numFmtId="0" fontId="5" fillId="3" borderId="0" xfId="0" applyFont="1" applyFill="1"/>
    <xf numFmtId="3" fontId="5" fillId="3" borderId="3" xfId="0" applyNumberFormat="1" applyFont="1" applyFill="1" applyBorder="1"/>
    <xf numFmtId="3" fontId="5" fillId="0" borderId="10" xfId="0" applyNumberFormat="1" applyFont="1" applyBorder="1"/>
    <xf numFmtId="3" fontId="5" fillId="0" borderId="9" xfId="0" applyNumberFormat="1" applyFont="1" applyBorder="1"/>
    <xf numFmtId="3" fontId="5" fillId="0" borderId="11" xfId="0" applyNumberFormat="1" applyFont="1" applyBorder="1"/>
    <xf numFmtId="3" fontId="1" fillId="0" borderId="11" xfId="0" applyNumberFormat="1" applyFont="1" applyBorder="1"/>
    <xf numFmtId="3" fontId="5" fillId="3" borderId="0" xfId="0" applyNumberFormat="1" applyFont="1" applyFill="1" applyBorder="1"/>
    <xf numFmtId="9" fontId="1" fillId="0" borderId="0" xfId="0" applyNumberFormat="1" applyFont="1"/>
    <xf numFmtId="0" fontId="1" fillId="4" borderId="0" xfId="0" applyFont="1" applyFill="1"/>
    <xf numFmtId="3" fontId="1" fillId="4" borderId="0" xfId="0" applyNumberFormat="1" applyFont="1" applyFill="1"/>
    <xf numFmtId="3" fontId="5" fillId="4" borderId="0" xfId="0" applyNumberFormat="1" applyFont="1" applyFill="1"/>
    <xf numFmtId="0" fontId="5" fillId="4" borderId="0" xfId="0" applyFont="1" applyFill="1"/>
    <xf numFmtId="0" fontId="12" fillId="2" borderId="0" xfId="0" applyFont="1" applyFill="1" applyAlignment="1">
      <alignment horizontal="center"/>
    </xf>
    <xf numFmtId="164" fontId="9" fillId="2" borderId="0" xfId="1" applyNumberFormat="1" applyFont="1" applyFill="1" applyAlignment="1">
      <alignment horizontal="center"/>
    </xf>
    <xf numFmtId="164" fontId="9" fillId="2" borderId="0" xfId="1" applyNumberFormat="1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164" fontId="2" fillId="2" borderId="0" xfId="1" applyNumberFormat="1" applyFont="1" applyFill="1" applyAlignment="1">
      <alignment horizont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4" fontId="19" fillId="0" borderId="0" xfId="1" applyNumberFormat="1" applyFont="1"/>
    <xf numFmtId="164" fontId="23" fillId="0" borderId="0" xfId="1" applyNumberFormat="1" applyFont="1"/>
    <xf numFmtId="164" fontId="20" fillId="0" borderId="0" xfId="1" applyNumberFormat="1" applyFont="1"/>
    <xf numFmtId="164" fontId="21" fillId="0" borderId="0" xfId="1" applyNumberFormat="1" applyFont="1"/>
    <xf numFmtId="0" fontId="19" fillId="0" borderId="1" xfId="0" applyFont="1" applyBorder="1"/>
    <xf numFmtId="164" fontId="19" fillId="0" borderId="1" xfId="1" applyNumberFormat="1" applyFont="1" applyBorder="1"/>
    <xf numFmtId="164" fontId="23" fillId="0" borderId="1" xfId="1" applyNumberFormat="1" applyFont="1" applyBorder="1"/>
    <xf numFmtId="164" fontId="20" fillId="0" borderId="1" xfId="1" applyNumberFormat="1" applyFont="1" applyBorder="1"/>
    <xf numFmtId="0" fontId="20" fillId="0" borderId="1" xfId="0" applyFont="1" applyBorder="1"/>
    <xf numFmtId="0" fontId="20" fillId="2" borderId="0" xfId="0" applyFont="1" applyFill="1"/>
    <xf numFmtId="0" fontId="20" fillId="0" borderId="0" xfId="6" applyFont="1"/>
    <xf numFmtId="0" fontId="1" fillId="0" borderId="0" xfId="6" applyFont="1" applyBorder="1"/>
    <xf numFmtId="0" fontId="1" fillId="0" borderId="0" xfId="6" applyFont="1" applyBorder="1" applyAlignment="1">
      <alignment horizontal="right"/>
    </xf>
    <xf numFmtId="0" fontId="20" fillId="2" borderId="3" xfId="6" applyFont="1" applyFill="1" applyBorder="1" applyAlignment="1">
      <alignment horizontal="center"/>
    </xf>
    <xf numFmtId="0" fontId="19" fillId="0" borderId="0" xfId="6" applyFont="1" applyFill="1"/>
    <xf numFmtId="0" fontId="20" fillId="2" borderId="0" xfId="6" applyFont="1" applyFill="1" applyAlignment="1">
      <alignment horizontal="center"/>
    </xf>
    <xf numFmtId="0" fontId="5" fillId="0" borderId="0" xfId="0" applyFont="1" applyAlignment="1">
      <alignment horizontal="right"/>
    </xf>
    <xf numFmtId="0" fontId="20" fillId="0" borderId="0" xfId="6" applyFont="1" applyFill="1" applyBorder="1" applyAlignment="1">
      <alignment horizontal="center"/>
    </xf>
    <xf numFmtId="0" fontId="2" fillId="0" borderId="0" xfId="6" applyFont="1" applyBorder="1"/>
    <xf numFmtId="0" fontId="7" fillId="0" borderId="2" xfId="0" applyFont="1" applyFill="1" applyBorder="1" applyAlignment="1">
      <alignment horizontal="center"/>
    </xf>
    <xf numFmtId="3" fontId="4" fillId="0" borderId="0" xfId="0" applyNumberFormat="1" applyFont="1"/>
  </cellXfs>
  <cellStyles count="7">
    <cellStyle name="Comma" xfId="1" builtinId="3"/>
    <cellStyle name="Comma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  <cellStyle name="Normal 4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13</xdr:row>
      <xdr:rowOff>180975</xdr:rowOff>
    </xdr:from>
    <xdr:to>
      <xdr:col>1</xdr:col>
      <xdr:colOff>238125</xdr:colOff>
      <xdr:row>15</xdr:row>
      <xdr:rowOff>9525</xdr:rowOff>
    </xdr:to>
    <xdr:sp macro="" textlink="">
      <xdr:nvSpPr>
        <xdr:cNvPr id="6" name="Line 9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>
          <a:off x="11237175900" y="28384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257175</xdr:colOff>
      <xdr:row>28</xdr:row>
      <xdr:rowOff>38100</xdr:rowOff>
    </xdr:from>
    <xdr:to>
      <xdr:col>1</xdr:col>
      <xdr:colOff>257175</xdr:colOff>
      <xdr:row>29</xdr:row>
      <xdr:rowOff>76200</xdr:rowOff>
    </xdr:to>
    <xdr:sp macro="" textlink="">
      <xdr:nvSpPr>
        <xdr:cNvPr id="7" name="Line 9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ShapeType="1"/>
        </xdr:cNvSpPr>
      </xdr:nvSpPr>
      <xdr:spPr bwMode="auto">
        <a:xfrm>
          <a:off x="11237156850" y="6115050"/>
          <a:ext cx="0" cy="238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6</xdr:col>
      <xdr:colOff>123825</xdr:colOff>
      <xdr:row>9</xdr:row>
      <xdr:rowOff>47625</xdr:rowOff>
    </xdr:from>
    <xdr:to>
      <xdr:col>7</xdr:col>
      <xdr:colOff>0</xdr:colOff>
      <xdr:row>9</xdr:row>
      <xdr:rowOff>152400</xdr:rowOff>
    </xdr:to>
    <xdr:cxnSp macro="">
      <xdr:nvCxnSpPr>
        <xdr:cNvPr id="10" name="מחבר חץ ישר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11230746525" y="1895475"/>
          <a:ext cx="1933575" cy="1047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19</xdr:row>
      <xdr:rowOff>85725</xdr:rowOff>
    </xdr:from>
    <xdr:to>
      <xdr:col>3</xdr:col>
      <xdr:colOff>85725</xdr:colOff>
      <xdr:row>20</xdr:row>
      <xdr:rowOff>171450</xdr:rowOff>
    </xdr:to>
    <xdr:cxnSp macro="">
      <xdr:nvCxnSpPr>
        <xdr:cNvPr id="6" name="מחבר חץ ישר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 flipH="1">
          <a:off x="11234893075" y="12684125"/>
          <a:ext cx="381000" cy="282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495300</xdr:colOff>
      <xdr:row>19</xdr:row>
      <xdr:rowOff>85725</xdr:rowOff>
    </xdr:from>
    <xdr:to>
      <xdr:col>2</xdr:col>
      <xdr:colOff>123825</xdr:colOff>
      <xdr:row>21</xdr:row>
      <xdr:rowOff>9525</xdr:rowOff>
    </xdr:to>
    <xdr:cxnSp macro="">
      <xdr:nvCxnSpPr>
        <xdr:cNvPr id="7" name="מחבר חץ ישר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11235540775" y="12684125"/>
          <a:ext cx="314325" cy="317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rightToLeft="1" topLeftCell="A68" workbookViewId="0">
      <selection activeCell="F24" sqref="F24"/>
    </sheetView>
  </sheetViews>
  <sheetFormatPr defaultRowHeight="14" x14ac:dyDescent="0.3"/>
  <cols>
    <col min="1" max="1" width="15.58203125" customWidth="1"/>
    <col min="2" max="2" width="21.5" customWidth="1"/>
    <col min="3" max="3" width="18.58203125" customWidth="1"/>
    <col min="4" max="4" width="28" customWidth="1"/>
    <col min="5" max="5" width="15.58203125" bestFit="1" customWidth="1"/>
    <col min="6" max="6" width="11.1640625" customWidth="1"/>
    <col min="7" max="7" width="9" style="36"/>
  </cols>
  <sheetData>
    <row r="1" spans="1:8" ht="18" x14ac:dyDescent="0.4">
      <c r="B1" s="4" t="s">
        <v>19</v>
      </c>
      <c r="G1" s="69"/>
    </row>
    <row r="2" spans="1:8" ht="15.5" x14ac:dyDescent="0.35">
      <c r="A2" s="5" t="s">
        <v>20</v>
      </c>
      <c r="B2" s="2"/>
      <c r="C2" s="2"/>
      <c r="D2" s="2"/>
      <c r="E2" s="2"/>
      <c r="F2" s="2"/>
      <c r="G2" s="69"/>
    </row>
    <row r="3" spans="1:8" ht="15.5" x14ac:dyDescent="0.35">
      <c r="B3" s="5" t="s">
        <v>21</v>
      </c>
      <c r="C3" s="2"/>
      <c r="D3" s="2"/>
      <c r="E3" s="2"/>
      <c r="G3" s="69"/>
    </row>
    <row r="4" spans="1:8" ht="15.5" x14ac:dyDescent="0.35">
      <c r="B4" s="6" t="s">
        <v>22</v>
      </c>
      <c r="C4" s="2"/>
      <c r="D4" s="2"/>
      <c r="E4" s="2"/>
      <c r="F4" s="2"/>
      <c r="G4" s="70"/>
      <c r="H4" s="2"/>
    </row>
    <row r="5" spans="1:8" ht="15.5" x14ac:dyDescent="0.35">
      <c r="A5" s="9">
        <v>1</v>
      </c>
      <c r="B5" s="2" t="s">
        <v>67</v>
      </c>
      <c r="C5" s="37">
        <f>48000/36*9</f>
        <v>12000</v>
      </c>
      <c r="D5" s="2" t="s">
        <v>69</v>
      </c>
      <c r="E5" s="2"/>
      <c r="F5" s="2"/>
      <c r="G5" s="31">
        <v>2</v>
      </c>
      <c r="H5" s="2"/>
    </row>
    <row r="6" spans="1:8" ht="15.5" x14ac:dyDescent="0.35">
      <c r="B6" s="2" t="s">
        <v>68</v>
      </c>
      <c r="C6" s="37">
        <f>48000/36*9</f>
        <v>12000</v>
      </c>
      <c r="E6" s="2"/>
      <c r="F6" s="2"/>
      <c r="G6" s="31"/>
      <c r="H6" s="2"/>
    </row>
    <row r="7" spans="1:8" ht="15.5" x14ac:dyDescent="0.35">
      <c r="B7" s="2"/>
      <c r="C7" s="37"/>
      <c r="D7" s="2"/>
      <c r="E7" s="2"/>
      <c r="F7" s="2"/>
      <c r="G7" s="31"/>
      <c r="H7" s="2"/>
    </row>
    <row r="8" spans="1:8" ht="15.5" x14ac:dyDescent="0.35">
      <c r="A8" s="9">
        <v>2</v>
      </c>
      <c r="B8" s="2" t="s">
        <v>70</v>
      </c>
      <c r="C8" s="37">
        <f>240000/15*3</f>
        <v>48000</v>
      </c>
      <c r="D8" s="2" t="s">
        <v>72</v>
      </c>
      <c r="E8" s="2"/>
      <c r="F8" s="2"/>
      <c r="G8" s="31">
        <v>2</v>
      </c>
      <c r="H8" s="2"/>
    </row>
    <row r="9" spans="1:8" ht="15.5" x14ac:dyDescent="0.35">
      <c r="B9" s="2" t="s">
        <v>71</v>
      </c>
      <c r="C9" s="37">
        <f>240000/15*3</f>
        <v>48000</v>
      </c>
      <c r="E9" s="2"/>
      <c r="F9" s="2"/>
      <c r="G9" s="31"/>
      <c r="H9" s="2"/>
    </row>
    <row r="10" spans="1:8" ht="15.5" x14ac:dyDescent="0.35">
      <c r="B10" s="2"/>
      <c r="C10" s="37"/>
      <c r="E10" s="2"/>
      <c r="F10" s="2"/>
      <c r="G10" s="31"/>
      <c r="H10" s="2"/>
    </row>
    <row r="11" spans="1:8" ht="15.5" x14ac:dyDescent="0.35">
      <c r="A11" s="9">
        <v>3</v>
      </c>
      <c r="B11" s="2" t="s">
        <v>23</v>
      </c>
      <c r="C11" s="37">
        <f>60000/10*2</f>
        <v>12000</v>
      </c>
      <c r="D11" s="2" t="s">
        <v>73</v>
      </c>
      <c r="E11" s="2"/>
      <c r="F11" s="2"/>
      <c r="G11" s="31">
        <v>2</v>
      </c>
      <c r="H11" s="2"/>
    </row>
    <row r="12" spans="1:8" ht="15.5" x14ac:dyDescent="0.35">
      <c r="B12" s="2" t="s">
        <v>24</v>
      </c>
      <c r="C12" s="37">
        <f>C11</f>
        <v>12000</v>
      </c>
      <c r="D12" s="2"/>
      <c r="E12" s="2"/>
      <c r="F12" s="2"/>
      <c r="G12" s="31"/>
      <c r="H12" s="2"/>
    </row>
    <row r="13" spans="1:8" ht="15.5" x14ac:dyDescent="0.35">
      <c r="B13" s="2"/>
      <c r="C13" s="37"/>
      <c r="D13" s="2"/>
      <c r="E13" s="2"/>
      <c r="F13" s="2"/>
      <c r="G13" s="31"/>
      <c r="H13" s="2"/>
    </row>
    <row r="14" spans="1:8" ht="15.5" x14ac:dyDescent="0.35">
      <c r="A14" s="9">
        <v>4</v>
      </c>
      <c r="B14" s="2" t="s">
        <v>74</v>
      </c>
      <c r="C14" s="37">
        <f>360000*(5/15*9/12+4/15*3/12)</f>
        <v>114000</v>
      </c>
      <c r="D14" s="2" t="s">
        <v>76</v>
      </c>
      <c r="F14" s="2"/>
      <c r="G14" s="31">
        <v>2</v>
      </c>
      <c r="H14" s="2"/>
    </row>
    <row r="15" spans="1:8" ht="15.5" x14ac:dyDescent="0.35">
      <c r="B15" s="2" t="s">
        <v>75</v>
      </c>
      <c r="C15" s="37">
        <f>360000*(5/15*9/12+4/15*3/12)</f>
        <v>114000</v>
      </c>
      <c r="D15" s="2"/>
      <c r="F15" s="2"/>
      <c r="G15" s="31"/>
      <c r="H15" s="2"/>
    </row>
    <row r="16" spans="1:8" ht="15.5" x14ac:dyDescent="0.35">
      <c r="B16" s="2"/>
      <c r="C16" s="37"/>
      <c r="D16" s="2"/>
      <c r="F16" s="2"/>
      <c r="G16" s="31"/>
      <c r="H16" s="2"/>
    </row>
    <row r="17" spans="1:8" ht="15.5" x14ac:dyDescent="0.35">
      <c r="B17" s="5" t="s">
        <v>25</v>
      </c>
      <c r="C17" s="2"/>
      <c r="D17" s="2"/>
      <c r="E17" s="2"/>
      <c r="F17" s="2"/>
      <c r="G17" s="31"/>
      <c r="H17" s="2"/>
    </row>
    <row r="18" spans="1:8" ht="15.5" x14ac:dyDescent="0.35">
      <c r="B18" s="5" t="s">
        <v>79</v>
      </c>
      <c r="C18" s="5"/>
      <c r="D18" s="2"/>
      <c r="E18" s="2"/>
      <c r="G18" s="69"/>
      <c r="H18" s="2"/>
    </row>
    <row r="19" spans="1:8" ht="15.5" x14ac:dyDescent="0.35">
      <c r="B19" s="38" t="s">
        <v>26</v>
      </c>
      <c r="C19" s="37"/>
      <c r="D19" s="38" t="s">
        <v>27</v>
      </c>
      <c r="E19" s="37"/>
      <c r="G19" s="69"/>
      <c r="H19" s="2"/>
    </row>
    <row r="20" spans="1:8" ht="15.5" x14ac:dyDescent="0.35">
      <c r="A20" s="39" t="s">
        <v>28</v>
      </c>
      <c r="B20" s="37" t="s">
        <v>77</v>
      </c>
      <c r="C20" s="37">
        <v>40000</v>
      </c>
      <c r="D20" s="37" t="s">
        <v>63</v>
      </c>
      <c r="E20" s="37">
        <v>52000</v>
      </c>
      <c r="F20" s="40"/>
      <c r="G20" s="31"/>
      <c r="H20" s="2"/>
    </row>
    <row r="21" spans="1:8" ht="15.5" x14ac:dyDescent="0.35">
      <c r="B21" s="2" t="s">
        <v>29</v>
      </c>
      <c r="C21" s="37">
        <f>B37</f>
        <v>38000</v>
      </c>
      <c r="D21" s="37" t="s">
        <v>32</v>
      </c>
      <c r="E21" s="37">
        <f>240000-48000</f>
        <v>192000</v>
      </c>
      <c r="F21" s="39" t="s">
        <v>28</v>
      </c>
      <c r="G21" s="31"/>
      <c r="H21" s="2"/>
    </row>
    <row r="22" spans="1:8" ht="15.5" x14ac:dyDescent="0.35">
      <c r="A22" s="39" t="s">
        <v>28</v>
      </c>
      <c r="B22" s="2" t="s">
        <v>78</v>
      </c>
      <c r="C22" s="37">
        <f>48000-C6</f>
        <v>36000</v>
      </c>
      <c r="D22" s="37" t="s">
        <v>30</v>
      </c>
      <c r="E22" s="37">
        <f>+C12</f>
        <v>12000</v>
      </c>
      <c r="F22" s="39" t="s">
        <v>28</v>
      </c>
      <c r="G22" s="31"/>
      <c r="H22" s="2"/>
    </row>
    <row r="23" spans="1:8" ht="18.5" x14ac:dyDescent="0.65">
      <c r="A23" s="39" t="s">
        <v>28</v>
      </c>
      <c r="B23" s="37" t="s">
        <v>33</v>
      </c>
      <c r="C23" s="38">
        <v>49000</v>
      </c>
      <c r="D23" s="37" t="s">
        <v>31</v>
      </c>
      <c r="E23" s="41">
        <v>50000</v>
      </c>
      <c r="G23" s="31"/>
      <c r="H23" s="2"/>
    </row>
    <row r="24" spans="1:8" ht="15.5" x14ac:dyDescent="0.35">
      <c r="A24" s="42"/>
      <c r="B24" s="37"/>
      <c r="C24" s="37">
        <f>SUM(C20:C23)</f>
        <v>163000</v>
      </c>
      <c r="E24" s="37">
        <f>SUM(E20:E23)</f>
        <v>306000</v>
      </c>
      <c r="F24" s="39"/>
      <c r="G24" s="31">
        <v>3</v>
      </c>
      <c r="H24" s="2"/>
    </row>
    <row r="25" spans="1:8" ht="15.5" x14ac:dyDescent="0.35">
      <c r="A25" s="42"/>
      <c r="C25" s="37"/>
      <c r="D25" s="38"/>
      <c r="E25" s="37"/>
      <c r="F25" s="2"/>
      <c r="G25" s="31"/>
      <c r="H25" s="2"/>
    </row>
    <row r="26" spans="1:8" ht="15.5" x14ac:dyDescent="0.35">
      <c r="A26" s="39"/>
      <c r="B26" s="38" t="s">
        <v>34</v>
      </c>
      <c r="C26" s="37"/>
      <c r="D26" s="38" t="s">
        <v>35</v>
      </c>
      <c r="F26" s="2"/>
      <c r="G26" s="31"/>
      <c r="H26" s="2"/>
    </row>
    <row r="27" spans="1:8" ht="15.5" x14ac:dyDescent="0.35">
      <c r="B27" s="2" t="s">
        <v>36</v>
      </c>
      <c r="C27" s="37">
        <f>D37</f>
        <v>216000</v>
      </c>
      <c r="D27" s="37" t="s">
        <v>37</v>
      </c>
      <c r="E27" s="37">
        <v>70000</v>
      </c>
      <c r="F27" s="43"/>
      <c r="G27" s="69"/>
      <c r="H27" s="2"/>
    </row>
    <row r="28" spans="1:8" ht="15.5" x14ac:dyDescent="0.35">
      <c r="B28" s="37"/>
      <c r="C28" s="37"/>
      <c r="D28" s="2" t="s">
        <v>66</v>
      </c>
      <c r="E28" s="38">
        <f>F37</f>
        <v>3000</v>
      </c>
      <c r="F28" s="2"/>
      <c r="G28" s="31"/>
      <c r="H28" s="2"/>
    </row>
    <row r="29" spans="1:8" ht="15.5" x14ac:dyDescent="0.35">
      <c r="D29" s="37"/>
      <c r="E29" s="37">
        <f>SUM(E27:E28)</f>
        <v>73000</v>
      </c>
      <c r="F29" s="2"/>
      <c r="G29" s="31">
        <v>3</v>
      </c>
      <c r="H29" s="2"/>
    </row>
    <row r="30" spans="1:8" ht="16" thickBot="1" x14ac:dyDescent="0.4">
      <c r="B30" s="37"/>
      <c r="C30" s="44">
        <f>C24+C27</f>
        <v>379000</v>
      </c>
      <c r="D30" s="37"/>
      <c r="E30" s="44">
        <f>E29+E24</f>
        <v>379000</v>
      </c>
      <c r="F30" s="2"/>
      <c r="G30" s="31"/>
      <c r="H30" s="2"/>
    </row>
    <row r="31" spans="1:8" ht="16" thickTop="1" x14ac:dyDescent="0.35">
      <c r="B31" s="37"/>
      <c r="C31" s="46"/>
      <c r="D31" s="37"/>
      <c r="E31" s="46"/>
      <c r="F31" s="2"/>
      <c r="G31" s="31"/>
      <c r="H31" s="2"/>
    </row>
    <row r="32" spans="1:8" ht="15.5" x14ac:dyDescent="0.35">
      <c r="A32" s="5" t="s">
        <v>90</v>
      </c>
      <c r="B32" s="37"/>
      <c r="C32" s="37"/>
      <c r="D32" s="37"/>
      <c r="E32" s="37"/>
      <c r="F32" s="2"/>
      <c r="G32" s="31"/>
      <c r="H32" s="2"/>
    </row>
    <row r="33" spans="1:8" ht="15.5" x14ac:dyDescent="0.35">
      <c r="A33" s="51"/>
      <c r="B33" s="37"/>
      <c r="C33" s="37"/>
      <c r="D33" s="37"/>
      <c r="E33" s="37"/>
      <c r="F33" s="2"/>
      <c r="G33" s="31"/>
      <c r="H33" s="2"/>
    </row>
    <row r="34" spans="1:8" ht="15.5" x14ac:dyDescent="0.35">
      <c r="A34" s="6" t="s">
        <v>38</v>
      </c>
      <c r="B34" s="37"/>
      <c r="C34" s="6" t="s">
        <v>36</v>
      </c>
      <c r="D34" s="37"/>
      <c r="E34" s="45" t="s">
        <v>39</v>
      </c>
      <c r="F34" s="46"/>
      <c r="G34" s="71"/>
    </row>
    <row r="35" spans="1:8" ht="15.5" x14ac:dyDescent="0.35">
      <c r="A35" s="37" t="s">
        <v>4</v>
      </c>
      <c r="B35" s="37">
        <v>50000</v>
      </c>
      <c r="C35" s="37" t="s">
        <v>40</v>
      </c>
      <c r="D35" s="37">
        <v>360000</v>
      </c>
      <c r="E35" s="46" t="s">
        <v>41</v>
      </c>
      <c r="F35" s="46">
        <v>59500</v>
      </c>
      <c r="G35" s="71"/>
    </row>
    <row r="36" spans="1:8" ht="18.5" x14ac:dyDescent="0.65">
      <c r="A36" s="37" t="s">
        <v>42</v>
      </c>
      <c r="B36" s="41">
        <v>-12000</v>
      </c>
      <c r="C36" s="37" t="s">
        <v>43</v>
      </c>
      <c r="D36" s="41">
        <f>-30000-C14</f>
        <v>-144000</v>
      </c>
      <c r="E36" s="46" t="s">
        <v>44</v>
      </c>
      <c r="F36" s="47">
        <f>D48</f>
        <v>-56500</v>
      </c>
      <c r="G36" s="31">
        <v>3</v>
      </c>
    </row>
    <row r="37" spans="1:8" ht="13.5" customHeight="1" x14ac:dyDescent="0.35">
      <c r="A37" s="37"/>
      <c r="B37" s="37">
        <f>SUM(B35:B36)</f>
        <v>38000</v>
      </c>
      <c r="C37" s="37"/>
      <c r="D37" s="37">
        <f>SUM(D35:D36)</f>
        <v>216000</v>
      </c>
      <c r="E37" s="46"/>
      <c r="F37" s="46">
        <f>SUM(F35:F36)</f>
        <v>3000</v>
      </c>
      <c r="G37" s="69"/>
    </row>
    <row r="38" spans="1:8" ht="18.75" customHeight="1" x14ac:dyDescent="0.35">
      <c r="C38" s="37"/>
      <c r="D38" s="37"/>
      <c r="E38" s="46"/>
      <c r="F38" s="48" t="s">
        <v>45</v>
      </c>
      <c r="G38" s="72"/>
    </row>
    <row r="39" spans="1:8" ht="15.5" x14ac:dyDescent="0.35">
      <c r="B39" s="5" t="s">
        <v>80</v>
      </c>
      <c r="C39" s="5"/>
      <c r="D39" s="5"/>
      <c r="E39" s="2"/>
      <c r="F39" s="2"/>
      <c r="G39" s="31"/>
      <c r="H39" s="2"/>
    </row>
    <row r="40" spans="1:8" ht="15.5" x14ac:dyDescent="0.35">
      <c r="B40" s="2" t="s">
        <v>46</v>
      </c>
      <c r="C40" s="37"/>
      <c r="D40" s="37">
        <f>C54</f>
        <v>727000</v>
      </c>
      <c r="E40" s="2"/>
      <c r="F40" s="2"/>
      <c r="G40" s="31"/>
      <c r="H40" s="2"/>
    </row>
    <row r="41" spans="1:8" ht="15.5" x14ac:dyDescent="0.35">
      <c r="B41" s="2" t="s">
        <v>47</v>
      </c>
      <c r="C41" s="37"/>
      <c r="D41" s="49">
        <f>-C59</f>
        <v>-301000</v>
      </c>
      <c r="E41" s="2"/>
      <c r="F41" s="2"/>
      <c r="G41" s="31"/>
      <c r="H41" s="2"/>
    </row>
    <row r="42" spans="1:8" ht="15.5" x14ac:dyDescent="0.35">
      <c r="B42" s="2" t="s">
        <v>1</v>
      </c>
      <c r="C42" s="37"/>
      <c r="D42" s="37">
        <f>SUM(D40:D41)</f>
        <v>426000</v>
      </c>
      <c r="E42" s="2"/>
      <c r="F42" s="2"/>
      <c r="G42" s="31"/>
      <c r="H42" s="2"/>
    </row>
    <row r="43" spans="1:8" ht="15.5" x14ac:dyDescent="0.35">
      <c r="B43" s="2" t="s">
        <v>48</v>
      </c>
      <c r="C43" s="37"/>
      <c r="D43" s="37">
        <f>-C68</f>
        <v>-197000</v>
      </c>
      <c r="E43" s="2"/>
      <c r="F43" s="2"/>
      <c r="G43" s="31"/>
      <c r="H43" s="2"/>
    </row>
    <row r="44" spans="1:8" ht="15.5" x14ac:dyDescent="0.35">
      <c r="B44" s="2" t="s">
        <v>49</v>
      </c>
      <c r="C44" s="37"/>
      <c r="D44" s="37">
        <f>-C80</f>
        <v>-356000</v>
      </c>
      <c r="E44" s="2"/>
      <c r="F44" s="2"/>
      <c r="G44" s="31"/>
      <c r="H44" s="2"/>
    </row>
    <row r="45" spans="1:8" ht="18.5" x14ac:dyDescent="0.65">
      <c r="A45" s="39"/>
      <c r="B45" s="2" t="s">
        <v>50</v>
      </c>
      <c r="C45" s="37"/>
      <c r="D45" s="41">
        <f>C84</f>
        <v>76000</v>
      </c>
      <c r="E45" s="2"/>
      <c r="F45" s="2"/>
      <c r="G45" s="31"/>
      <c r="H45" s="2"/>
    </row>
    <row r="46" spans="1:8" ht="15.5" x14ac:dyDescent="0.35">
      <c r="B46" s="2" t="s">
        <v>64</v>
      </c>
      <c r="C46" s="37"/>
      <c r="D46" s="37">
        <f>SUM(D42:D45)</f>
        <v>-51000</v>
      </c>
      <c r="E46" s="2"/>
      <c r="F46" s="2"/>
      <c r="G46" s="31"/>
      <c r="H46" s="2"/>
    </row>
    <row r="47" spans="1:8" ht="15.5" x14ac:dyDescent="0.35">
      <c r="A47" s="39"/>
      <c r="B47" s="2" t="s">
        <v>89</v>
      </c>
      <c r="C47" s="37"/>
      <c r="D47" s="38">
        <v>-5500</v>
      </c>
      <c r="E47" s="2"/>
      <c r="F47" s="2"/>
      <c r="G47" s="31"/>
      <c r="H47" s="2"/>
    </row>
    <row r="48" spans="1:8" ht="15.5" x14ac:dyDescent="0.35">
      <c r="B48" s="26" t="s">
        <v>65</v>
      </c>
      <c r="C48" s="37"/>
      <c r="D48" s="37">
        <f>SUM(D46:D47)</f>
        <v>-56500</v>
      </c>
      <c r="E48" s="2"/>
      <c r="F48" s="2"/>
      <c r="G48" s="31">
        <v>3</v>
      </c>
      <c r="H48" s="2"/>
    </row>
    <row r="49" spans="1:8" ht="15.5" x14ac:dyDescent="0.35">
      <c r="B49" s="2"/>
      <c r="C49" s="37"/>
      <c r="D49" s="37"/>
      <c r="E49" s="2"/>
      <c r="F49" s="2"/>
      <c r="G49" s="31"/>
      <c r="H49" s="2"/>
    </row>
    <row r="50" spans="1:8" ht="15.5" x14ac:dyDescent="0.35">
      <c r="B50" s="2"/>
      <c r="C50" s="37"/>
      <c r="D50" s="37"/>
      <c r="E50" s="2"/>
      <c r="F50" s="2"/>
      <c r="G50" s="31"/>
      <c r="H50" s="2"/>
    </row>
    <row r="51" spans="1:8" ht="15.5" x14ac:dyDescent="0.35">
      <c r="B51" s="6" t="s">
        <v>51</v>
      </c>
      <c r="C51" s="2"/>
      <c r="D51" s="6" t="s">
        <v>52</v>
      </c>
      <c r="E51" s="2"/>
      <c r="G51" s="69"/>
      <c r="H51" s="2"/>
    </row>
    <row r="52" spans="1:8" ht="15.5" x14ac:dyDescent="0.35">
      <c r="B52" s="2" t="s">
        <v>2</v>
      </c>
      <c r="C52" s="37">
        <v>747000</v>
      </c>
      <c r="D52" s="2" t="s">
        <v>53</v>
      </c>
      <c r="E52" s="37">
        <v>310000</v>
      </c>
      <c r="F52" s="37"/>
      <c r="G52" s="69"/>
      <c r="H52" s="2"/>
    </row>
    <row r="53" spans="1:8" ht="18.5" x14ac:dyDescent="0.65">
      <c r="B53" s="2" t="s">
        <v>3</v>
      </c>
      <c r="C53" s="38">
        <v>-20000</v>
      </c>
      <c r="D53" s="2" t="s">
        <v>187</v>
      </c>
      <c r="E53" s="41">
        <v>-10000</v>
      </c>
      <c r="F53" s="37"/>
      <c r="G53" s="69"/>
      <c r="H53" s="2"/>
    </row>
    <row r="54" spans="1:8" ht="15.5" x14ac:dyDescent="0.35">
      <c r="B54" s="2"/>
      <c r="C54" s="37">
        <f>SUM(C52:C53)</f>
        <v>727000</v>
      </c>
      <c r="D54" s="2"/>
      <c r="E54" s="46">
        <f>SUM(E52:E53)</f>
        <v>300000</v>
      </c>
      <c r="G54" s="31">
        <v>2</v>
      </c>
      <c r="H54" s="2"/>
    </row>
    <row r="55" spans="1:8" ht="15.5" x14ac:dyDescent="0.35">
      <c r="B55" s="6" t="s">
        <v>54</v>
      </c>
      <c r="C55" s="37"/>
      <c r="D55" s="2"/>
      <c r="E55" s="37"/>
      <c r="F55" s="2"/>
      <c r="G55" s="73"/>
      <c r="H55" s="2"/>
    </row>
    <row r="56" spans="1:8" ht="15.5" x14ac:dyDescent="0.35">
      <c r="B56" s="2" t="s">
        <v>0</v>
      </c>
      <c r="C56" s="37">
        <v>50000</v>
      </c>
      <c r="F56" s="2"/>
      <c r="G56" s="73"/>
      <c r="H56" s="2"/>
    </row>
    <row r="57" spans="1:8" ht="15.5" x14ac:dyDescent="0.35">
      <c r="B57" s="2" t="s">
        <v>55</v>
      </c>
      <c r="C57" s="37">
        <f>E54</f>
        <v>300000</v>
      </c>
      <c r="F57" s="2"/>
      <c r="G57" s="73"/>
      <c r="H57" s="2"/>
    </row>
    <row r="58" spans="1:8" ht="15.5" x14ac:dyDescent="0.35">
      <c r="A58" s="39" t="s">
        <v>28</v>
      </c>
      <c r="B58" s="2" t="s">
        <v>33</v>
      </c>
      <c r="C58" s="38">
        <f>-C23</f>
        <v>-49000</v>
      </c>
      <c r="F58" s="2"/>
      <c r="G58" s="31">
        <v>1</v>
      </c>
      <c r="H58" s="2"/>
    </row>
    <row r="59" spans="1:8" ht="15.5" x14ac:dyDescent="0.35">
      <c r="B59" s="2"/>
      <c r="C59" s="37">
        <f>SUM(C56:C58)</f>
        <v>301000</v>
      </c>
      <c r="F59" s="2"/>
      <c r="G59" s="73"/>
      <c r="H59" s="2"/>
    </row>
    <row r="60" spans="1:8" ht="15.5" x14ac:dyDescent="0.35">
      <c r="B60" s="2"/>
      <c r="C60" s="37"/>
      <c r="F60" s="2"/>
      <c r="G60" s="73"/>
      <c r="H60" s="2"/>
    </row>
    <row r="61" spans="1:8" ht="15.5" x14ac:dyDescent="0.35">
      <c r="B61" s="2"/>
      <c r="C61" s="37"/>
      <c r="F61" s="2"/>
      <c r="G61" s="73"/>
      <c r="H61" s="2"/>
    </row>
    <row r="62" spans="1:8" ht="15.5" x14ac:dyDescent="0.35">
      <c r="B62" s="2"/>
      <c r="C62" s="37"/>
      <c r="F62" s="2"/>
      <c r="G62" s="73"/>
      <c r="H62" s="2"/>
    </row>
    <row r="63" spans="1:8" ht="15.5" x14ac:dyDescent="0.35">
      <c r="B63" s="6" t="s">
        <v>48</v>
      </c>
      <c r="C63" s="37"/>
      <c r="D63" s="2"/>
      <c r="E63" s="2"/>
      <c r="F63" s="2"/>
      <c r="G63" s="31"/>
      <c r="H63" s="2"/>
    </row>
    <row r="64" spans="1:8" ht="15.5" x14ac:dyDescent="0.35">
      <c r="B64" s="2" t="s">
        <v>81</v>
      </c>
      <c r="C64" s="37">
        <v>51000</v>
      </c>
      <c r="D64" s="2"/>
      <c r="E64" s="2"/>
      <c r="F64" s="2"/>
      <c r="G64" s="31"/>
      <c r="H64" s="2"/>
    </row>
    <row r="65" spans="1:8" ht="15.5" x14ac:dyDescent="0.35">
      <c r="A65" s="39"/>
      <c r="B65" s="2" t="s">
        <v>82</v>
      </c>
      <c r="C65" s="37">
        <f>38000/2</f>
        <v>19000</v>
      </c>
      <c r="D65" s="2"/>
      <c r="E65" s="2"/>
      <c r="F65" s="2"/>
      <c r="G65" s="31"/>
      <c r="H65" s="2"/>
    </row>
    <row r="66" spans="1:8" ht="15.5" x14ac:dyDescent="0.35">
      <c r="A66" s="39"/>
      <c r="B66" s="2" t="s">
        <v>59</v>
      </c>
      <c r="C66" s="37">
        <f>C14*0.5</f>
        <v>57000</v>
      </c>
      <c r="D66" s="2"/>
      <c r="E66" s="2"/>
      <c r="F66" s="2"/>
      <c r="G66" s="31"/>
      <c r="H66" s="2"/>
    </row>
    <row r="67" spans="1:8" ht="18.5" x14ac:dyDescent="0.65">
      <c r="A67" s="39"/>
      <c r="B67" s="2" t="s">
        <v>83</v>
      </c>
      <c r="C67" s="41">
        <v>70000</v>
      </c>
      <c r="D67" s="2"/>
      <c r="E67" s="2"/>
      <c r="F67" s="2"/>
      <c r="G67" s="31"/>
      <c r="H67" s="2"/>
    </row>
    <row r="68" spans="1:8" ht="15.5" x14ac:dyDescent="0.35">
      <c r="B68" s="2"/>
      <c r="C68" s="37">
        <f>SUM(C64:C67)</f>
        <v>197000</v>
      </c>
      <c r="D68" s="40"/>
      <c r="E68" s="2"/>
      <c r="F68" s="2"/>
      <c r="G68" s="31">
        <v>2</v>
      </c>
      <c r="H68" s="2"/>
    </row>
    <row r="69" spans="1:8" ht="15.5" x14ac:dyDescent="0.35">
      <c r="B69" s="2"/>
      <c r="C69" s="37"/>
      <c r="D69" s="40"/>
      <c r="E69" s="2"/>
      <c r="F69" s="2"/>
      <c r="G69" s="31"/>
      <c r="H69" s="2"/>
    </row>
    <row r="70" spans="1:8" ht="15.5" x14ac:dyDescent="0.35">
      <c r="B70" s="6" t="s">
        <v>49</v>
      </c>
      <c r="C70" s="37"/>
      <c r="D70" s="40"/>
      <c r="E70" s="2"/>
      <c r="F70" s="2"/>
      <c r="G70" s="31"/>
      <c r="H70" s="2"/>
    </row>
    <row r="71" spans="1:8" ht="15.5" x14ac:dyDescent="0.35">
      <c r="B71" s="2" t="s">
        <v>82</v>
      </c>
      <c r="C71" s="37">
        <f>38000/2</f>
        <v>19000</v>
      </c>
      <c r="D71" s="40"/>
      <c r="E71" s="2"/>
      <c r="F71" s="2"/>
      <c r="G71" s="31"/>
      <c r="H71" s="2"/>
    </row>
    <row r="72" spans="1:8" ht="15.5" x14ac:dyDescent="0.35">
      <c r="B72" s="2" t="s">
        <v>59</v>
      </c>
      <c r="C72" s="37">
        <v>57000</v>
      </c>
      <c r="D72" s="40"/>
      <c r="E72" s="2"/>
      <c r="F72" s="2"/>
      <c r="G72" s="31"/>
      <c r="H72" s="2"/>
    </row>
    <row r="73" spans="1:8" ht="15.5" x14ac:dyDescent="0.35">
      <c r="B73" s="2" t="s">
        <v>56</v>
      </c>
      <c r="C73" s="37">
        <v>96000</v>
      </c>
      <c r="D73" s="40"/>
      <c r="E73" s="2"/>
      <c r="F73" s="2"/>
      <c r="G73" s="31"/>
      <c r="H73" s="2"/>
    </row>
    <row r="74" spans="1:8" ht="15.5" x14ac:dyDescent="0.35">
      <c r="B74" s="2" t="s">
        <v>57</v>
      </c>
      <c r="C74" s="37">
        <v>20000</v>
      </c>
      <c r="D74" s="40"/>
      <c r="E74" s="2"/>
      <c r="F74" s="2"/>
      <c r="G74" s="31"/>
      <c r="H74" s="2"/>
    </row>
    <row r="75" spans="1:8" ht="15.5" x14ac:dyDescent="0.35">
      <c r="B75" s="2" t="s">
        <v>84</v>
      </c>
      <c r="C75" s="37">
        <f>C5</f>
        <v>12000</v>
      </c>
      <c r="D75" s="40"/>
      <c r="E75" s="2"/>
      <c r="F75" s="2"/>
      <c r="G75" s="31"/>
      <c r="H75" s="2"/>
    </row>
    <row r="76" spans="1:8" ht="15.5" x14ac:dyDescent="0.35">
      <c r="B76" s="2" t="s">
        <v>86</v>
      </c>
      <c r="C76" s="37">
        <v>26000</v>
      </c>
      <c r="D76" s="2"/>
      <c r="E76" s="2"/>
      <c r="F76" s="2"/>
      <c r="G76" s="31"/>
      <c r="H76" s="2"/>
    </row>
    <row r="77" spans="1:8" ht="15.5" x14ac:dyDescent="0.35">
      <c r="B77" s="2" t="s">
        <v>58</v>
      </c>
      <c r="C77" s="37">
        <v>45000</v>
      </c>
      <c r="D77" s="2"/>
      <c r="E77" s="2"/>
      <c r="F77" s="2"/>
      <c r="G77" s="31"/>
      <c r="H77" s="2"/>
    </row>
    <row r="78" spans="1:8" ht="15.5" x14ac:dyDescent="0.35">
      <c r="B78" s="2" t="s">
        <v>85</v>
      </c>
      <c r="C78" s="37">
        <v>9000</v>
      </c>
      <c r="D78" s="2"/>
      <c r="E78" s="2"/>
      <c r="F78" s="2"/>
      <c r="G78" s="31"/>
      <c r="H78" s="2"/>
    </row>
    <row r="79" spans="1:8" ht="18.5" x14ac:dyDescent="0.65">
      <c r="A79" s="39" t="s">
        <v>28</v>
      </c>
      <c r="B79" s="2" t="s">
        <v>60</v>
      </c>
      <c r="C79" s="41">
        <f>60000+C11</f>
        <v>72000</v>
      </c>
      <c r="D79" s="2"/>
      <c r="E79" s="2"/>
      <c r="F79" s="2"/>
      <c r="G79" s="31"/>
      <c r="H79" s="2"/>
    </row>
    <row r="80" spans="1:8" ht="15.5" x14ac:dyDescent="0.35">
      <c r="B80" s="2"/>
      <c r="C80" s="37">
        <f>SUM(C71:C79)</f>
        <v>356000</v>
      </c>
      <c r="D80" s="35"/>
      <c r="E80" s="2"/>
      <c r="F80" s="2"/>
      <c r="G80" s="31">
        <v>2</v>
      </c>
      <c r="H80" s="2"/>
    </row>
    <row r="81" spans="1:8" ht="15.5" x14ac:dyDescent="0.35">
      <c r="B81" s="6" t="s">
        <v>61</v>
      </c>
      <c r="C81" s="2"/>
      <c r="D81" s="2"/>
      <c r="E81" s="2"/>
      <c r="F81" s="2"/>
      <c r="G81" s="31"/>
      <c r="H81" s="2"/>
    </row>
    <row r="82" spans="1:8" ht="15.5" x14ac:dyDescent="0.35">
      <c r="B82" s="2" t="s">
        <v>88</v>
      </c>
      <c r="C82" s="37">
        <v>28000</v>
      </c>
      <c r="D82" s="2"/>
      <c r="E82" s="2"/>
      <c r="F82" s="2"/>
      <c r="G82" s="31"/>
      <c r="H82" s="2"/>
    </row>
    <row r="83" spans="1:8" ht="18.5" x14ac:dyDescent="0.65">
      <c r="A83" s="39" t="s">
        <v>28</v>
      </c>
      <c r="B83" s="2" t="s">
        <v>87</v>
      </c>
      <c r="C83" s="41">
        <f>C9</f>
        <v>48000</v>
      </c>
      <c r="G83" s="31">
        <v>1</v>
      </c>
    </row>
    <row r="84" spans="1:8" ht="15.5" x14ac:dyDescent="0.35">
      <c r="C84" s="37">
        <f>SUM(C82:C83)</f>
        <v>76000</v>
      </c>
      <c r="G84" s="69"/>
    </row>
    <row r="85" spans="1:8" ht="15.5" x14ac:dyDescent="0.35">
      <c r="F85" s="50" t="s">
        <v>62</v>
      </c>
      <c r="G85" s="31">
        <f>SUM(G1:G84)</f>
        <v>28</v>
      </c>
    </row>
  </sheetData>
  <pageMargins left="0.7" right="0.7" top="0.75" bottom="0.75" header="0.3" footer="0.3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"/>
  <sheetViews>
    <sheetView rightToLeft="1" topLeftCell="A43" workbookViewId="0">
      <selection activeCell="D49" sqref="D49"/>
    </sheetView>
  </sheetViews>
  <sheetFormatPr defaultRowHeight="15.5" x14ac:dyDescent="0.35"/>
  <cols>
    <col min="1" max="1" width="14.33203125" style="74" customWidth="1"/>
    <col min="2" max="2" width="13.1640625" style="79" customWidth="1"/>
    <col min="3" max="3" width="11.08203125" style="79" customWidth="1"/>
    <col min="4" max="4" width="26.08203125" style="74" customWidth="1"/>
    <col min="5" max="6" width="8.6640625" style="74"/>
    <col min="7" max="7" width="8.6640625" style="88"/>
    <col min="8" max="16384" width="8.6640625" style="74"/>
  </cols>
  <sheetData>
    <row r="1" spans="1:7" x14ac:dyDescent="0.35">
      <c r="G1" s="88" t="s">
        <v>18</v>
      </c>
    </row>
    <row r="2" spans="1:7" x14ac:dyDescent="0.35">
      <c r="B2" s="77" t="s">
        <v>143</v>
      </c>
    </row>
    <row r="4" spans="1:7" x14ac:dyDescent="0.35">
      <c r="A4" s="76" t="s">
        <v>146</v>
      </c>
      <c r="B4" s="82"/>
    </row>
    <row r="6" spans="1:7" x14ac:dyDescent="0.35">
      <c r="D6" s="74" t="s">
        <v>144</v>
      </c>
      <c r="G6" s="88">
        <v>3</v>
      </c>
    </row>
    <row r="7" spans="1:7" x14ac:dyDescent="0.35">
      <c r="D7" s="74" t="s">
        <v>145</v>
      </c>
    </row>
    <row r="9" spans="1:7" x14ac:dyDescent="0.35">
      <c r="A9" s="76" t="s">
        <v>147</v>
      </c>
      <c r="B9" s="82"/>
    </row>
    <row r="10" spans="1:7" x14ac:dyDescent="0.35">
      <c r="A10" s="78" t="s">
        <v>148</v>
      </c>
    </row>
    <row r="11" spans="1:7" x14ac:dyDescent="0.35">
      <c r="A11" s="74" t="s">
        <v>149</v>
      </c>
      <c r="C11" s="79">
        <f>540000*3/4*2/3*4%</f>
        <v>10800</v>
      </c>
      <c r="D11" s="74" t="s">
        <v>193</v>
      </c>
    </row>
    <row r="12" spans="1:7" ht="18.5" x14ac:dyDescent="0.65">
      <c r="A12" s="74" t="s">
        <v>150</v>
      </c>
      <c r="C12" s="80">
        <f>540000/4*2/3*4%*6/12</f>
        <v>1800</v>
      </c>
      <c r="D12" s="74" t="s">
        <v>192</v>
      </c>
      <c r="G12" s="88">
        <v>3</v>
      </c>
    </row>
    <row r="13" spans="1:7" x14ac:dyDescent="0.35">
      <c r="C13" s="79">
        <f>SUM(C11:C12)</f>
        <v>12600</v>
      </c>
    </row>
    <row r="14" spans="1:7" x14ac:dyDescent="0.35">
      <c r="A14" s="78" t="s">
        <v>151</v>
      </c>
    </row>
    <row r="16" spans="1:7" x14ac:dyDescent="0.35">
      <c r="C16" s="79">
        <v>73500</v>
      </c>
      <c r="D16" s="74" t="s">
        <v>152</v>
      </c>
      <c r="G16" s="88">
        <v>2</v>
      </c>
    </row>
    <row r="18" spans="1:7" x14ac:dyDescent="0.35">
      <c r="A18" s="78" t="s">
        <v>153</v>
      </c>
    </row>
    <row r="20" spans="1:7" x14ac:dyDescent="0.35">
      <c r="A20" s="74" t="s">
        <v>154</v>
      </c>
      <c r="C20" s="79">
        <f>120000*12.5%*7/12</f>
        <v>8750</v>
      </c>
      <c r="D20" s="74" t="s">
        <v>156</v>
      </c>
      <c r="G20" s="88">
        <v>3</v>
      </c>
    </row>
    <row r="21" spans="1:7" ht="18.5" x14ac:dyDescent="0.65">
      <c r="A21" s="74" t="s">
        <v>155</v>
      </c>
      <c r="C21" s="80">
        <f>300000*10%*5/12</f>
        <v>12500</v>
      </c>
      <c r="D21" s="74" t="s">
        <v>157</v>
      </c>
    </row>
    <row r="22" spans="1:7" x14ac:dyDescent="0.35">
      <c r="C22" s="79">
        <f>SUM(C20:C21)</f>
        <v>21250</v>
      </c>
    </row>
    <row r="24" spans="1:7" x14ac:dyDescent="0.35">
      <c r="A24" s="75" t="s">
        <v>158</v>
      </c>
      <c r="B24" s="81"/>
      <c r="C24" s="81">
        <f>C22+C16+C13</f>
        <v>107350</v>
      </c>
    </row>
    <row r="26" spans="1:7" x14ac:dyDescent="0.35">
      <c r="A26" s="76" t="s">
        <v>159</v>
      </c>
      <c r="B26" s="82"/>
    </row>
    <row r="28" spans="1:7" x14ac:dyDescent="0.35">
      <c r="A28" s="74" t="s">
        <v>160</v>
      </c>
      <c r="B28" s="79">
        <v>135000</v>
      </c>
      <c r="D28" s="74" t="s">
        <v>167</v>
      </c>
    </row>
    <row r="29" spans="1:7" ht="18.5" x14ac:dyDescent="0.65">
      <c r="A29" s="74" t="s">
        <v>161</v>
      </c>
      <c r="B29" s="80">
        <f>-135000*2/3*4%*16/12</f>
        <v>-4800</v>
      </c>
      <c r="D29" s="74" t="s">
        <v>168</v>
      </c>
    </row>
    <row r="30" spans="1:7" x14ac:dyDescent="0.35">
      <c r="A30" s="74" t="s">
        <v>162</v>
      </c>
      <c r="B30" s="79">
        <f>SUM(B28:B29)</f>
        <v>130200</v>
      </c>
      <c r="G30" s="88">
        <v>2</v>
      </c>
    </row>
    <row r="32" spans="1:7" x14ac:dyDescent="0.35">
      <c r="A32" s="74" t="s">
        <v>163</v>
      </c>
      <c r="B32" s="79">
        <v>120200</v>
      </c>
    </row>
    <row r="33" spans="1:7" ht="18.5" x14ac:dyDescent="0.65">
      <c r="A33" s="74" t="s">
        <v>162</v>
      </c>
      <c r="B33" s="80">
        <f>-B30</f>
        <v>-130200</v>
      </c>
    </row>
    <row r="34" spans="1:7" x14ac:dyDescent="0.35">
      <c r="A34" s="75" t="s">
        <v>164</v>
      </c>
      <c r="B34" s="81">
        <f>SUM(B32:B33)</f>
        <v>-10000</v>
      </c>
      <c r="G34" s="88">
        <v>2</v>
      </c>
    </row>
    <row r="36" spans="1:7" x14ac:dyDescent="0.35">
      <c r="A36" s="76" t="s">
        <v>165</v>
      </c>
      <c r="B36" s="82"/>
    </row>
    <row r="38" spans="1:7" x14ac:dyDescent="0.35">
      <c r="A38" s="74" t="s">
        <v>160</v>
      </c>
      <c r="B38" s="79">
        <v>120000</v>
      </c>
    </row>
    <row r="39" spans="1:7" ht="18.5" x14ac:dyDescent="0.65">
      <c r="A39" s="74" t="s">
        <v>161</v>
      </c>
      <c r="B39" s="80">
        <f>-120000*12.5%*19/12</f>
        <v>-23750</v>
      </c>
      <c r="D39" s="74" t="s">
        <v>169</v>
      </c>
    </row>
    <row r="40" spans="1:7" x14ac:dyDescent="0.35">
      <c r="A40" s="74" t="s">
        <v>162</v>
      </c>
      <c r="B40" s="79">
        <f>SUM(B38:B39)</f>
        <v>96250</v>
      </c>
      <c r="G40" s="88">
        <v>2</v>
      </c>
    </row>
    <row r="42" spans="1:7" x14ac:dyDescent="0.35">
      <c r="A42" s="74" t="s">
        <v>163</v>
      </c>
      <c r="B42" s="79">
        <v>103000</v>
      </c>
    </row>
    <row r="43" spans="1:7" ht="18.5" x14ac:dyDescent="0.65">
      <c r="A43" s="74" t="s">
        <v>162</v>
      </c>
      <c r="B43" s="80">
        <f>-B40</f>
        <v>-96250</v>
      </c>
    </row>
    <row r="44" spans="1:7" x14ac:dyDescent="0.35">
      <c r="A44" s="74" t="s">
        <v>166</v>
      </c>
      <c r="B44" s="79">
        <f>SUM(B42:B43)</f>
        <v>6750</v>
      </c>
      <c r="G44" s="88">
        <v>2</v>
      </c>
    </row>
    <row r="46" spans="1:7" x14ac:dyDescent="0.35">
      <c r="A46" s="76" t="s">
        <v>170</v>
      </c>
      <c r="B46" s="82"/>
    </row>
    <row r="48" spans="1:7" x14ac:dyDescent="0.35">
      <c r="A48" s="83"/>
      <c r="B48" s="86" t="s">
        <v>151</v>
      </c>
      <c r="C48" s="86" t="s">
        <v>171</v>
      </c>
      <c r="D48" s="87" t="s">
        <v>172</v>
      </c>
      <c r="E48" s="87" t="s">
        <v>173</v>
      </c>
    </row>
    <row r="49" spans="1:7" x14ac:dyDescent="0.35">
      <c r="A49" s="83" t="s">
        <v>160</v>
      </c>
      <c r="B49" s="84">
        <v>245000</v>
      </c>
      <c r="C49" s="84">
        <v>405000</v>
      </c>
      <c r="D49" s="84">
        <v>312000</v>
      </c>
      <c r="E49" s="84">
        <f>SUM(B49:D49)</f>
        <v>962000</v>
      </c>
      <c r="G49" s="88">
        <v>3</v>
      </c>
    </row>
    <row r="50" spans="1:7" ht="18.5" x14ac:dyDescent="0.65">
      <c r="A50" s="83" t="s">
        <v>161</v>
      </c>
      <c r="B50" s="85">
        <f>-245000*(5/15+4/15*6/12)</f>
        <v>-114333.33333333333</v>
      </c>
      <c r="C50" s="85">
        <f>-405000*2/3*4%*22/12</f>
        <v>-19800</v>
      </c>
      <c r="D50" s="85">
        <f>-C21</f>
        <v>-12500</v>
      </c>
      <c r="E50" s="85">
        <f>SUM(B50:D50)</f>
        <v>-146633.33333333331</v>
      </c>
      <c r="G50" s="88">
        <v>5</v>
      </c>
    </row>
    <row r="51" spans="1:7" x14ac:dyDescent="0.35">
      <c r="A51" s="83" t="s">
        <v>162</v>
      </c>
      <c r="B51" s="84">
        <f>SUM(B49:B50)</f>
        <v>130666.66666666667</v>
      </c>
      <c r="C51" s="84">
        <f>SUM(C49:C50)</f>
        <v>385200</v>
      </c>
      <c r="D51" s="84">
        <f t="shared" ref="D51:E51" si="0">SUM(D49:D50)</f>
        <v>299500</v>
      </c>
      <c r="E51" s="84">
        <f t="shared" si="0"/>
        <v>815366.66666666674</v>
      </c>
    </row>
    <row r="53" spans="1:7" x14ac:dyDescent="0.35">
      <c r="A53" s="76" t="s">
        <v>174</v>
      </c>
    </row>
    <row r="54" spans="1:7" x14ac:dyDescent="0.35">
      <c r="A54" s="74" t="s">
        <v>175</v>
      </c>
      <c r="G54" s="88">
        <v>1</v>
      </c>
    </row>
    <row r="55" spans="1:7" x14ac:dyDescent="0.35">
      <c r="A55" s="74" t="s">
        <v>176</v>
      </c>
    </row>
    <row r="56" spans="1:7" x14ac:dyDescent="0.35">
      <c r="A56" s="74" t="s">
        <v>177</v>
      </c>
    </row>
    <row r="57" spans="1:7" x14ac:dyDescent="0.35">
      <c r="A57" s="74" t="s">
        <v>178</v>
      </c>
      <c r="G57" s="88">
        <v>2</v>
      </c>
    </row>
    <row r="58" spans="1:7" x14ac:dyDescent="0.35">
      <c r="A58" s="74" t="s">
        <v>179</v>
      </c>
    </row>
    <row r="59" spans="1:7" x14ac:dyDescent="0.35">
      <c r="A59" s="74" t="s">
        <v>180</v>
      </c>
    </row>
    <row r="61" spans="1:7" x14ac:dyDescent="0.35">
      <c r="F61" s="74" t="s">
        <v>173</v>
      </c>
      <c r="G61" s="88">
        <f>SUM(G3:G59)</f>
        <v>30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2"/>
  <sheetViews>
    <sheetView rightToLeft="1" tabSelected="1" topLeftCell="A21" workbookViewId="0">
      <selection activeCell="E40" sqref="E40"/>
    </sheetView>
  </sheetViews>
  <sheetFormatPr defaultColWidth="9" defaultRowHeight="15.5" x14ac:dyDescent="0.35"/>
  <cols>
    <col min="1" max="1" width="18" style="2" customWidth="1"/>
    <col min="2" max="2" width="13" style="2" customWidth="1"/>
    <col min="3" max="3" width="10" style="2" bestFit="1" customWidth="1"/>
    <col min="4" max="4" width="14.4140625" style="2" customWidth="1"/>
    <col min="5" max="5" width="8.83203125" style="2" customWidth="1"/>
    <col min="6" max="6" width="9.08203125" style="2" customWidth="1"/>
    <col min="7" max="7" width="16.33203125" style="2" customWidth="1"/>
    <col min="8" max="9" width="9" style="2"/>
    <col min="10" max="10" width="9" style="33"/>
    <col min="11" max="16384" width="9" style="2"/>
  </cols>
  <sheetData>
    <row r="1" spans="1:10" x14ac:dyDescent="0.35">
      <c r="J1" s="3" t="s">
        <v>18</v>
      </c>
    </row>
    <row r="2" spans="1:10" ht="18" x14ac:dyDescent="0.4">
      <c r="A2" s="4" t="s">
        <v>137</v>
      </c>
      <c r="J2" s="31"/>
    </row>
    <row r="3" spans="1:10" x14ac:dyDescent="0.35">
      <c r="A3" s="5" t="s">
        <v>6</v>
      </c>
      <c r="J3" s="31"/>
    </row>
    <row r="4" spans="1:10" x14ac:dyDescent="0.35">
      <c r="J4" s="31"/>
    </row>
    <row r="5" spans="1:10" x14ac:dyDescent="0.35">
      <c r="D5" s="7" t="s">
        <v>118</v>
      </c>
      <c r="J5" s="31"/>
    </row>
    <row r="6" spans="1:10" x14ac:dyDescent="0.35">
      <c r="A6" s="9"/>
      <c r="B6" s="9"/>
      <c r="C6" s="9"/>
      <c r="D6" s="9"/>
      <c r="E6" s="9"/>
      <c r="F6" s="9"/>
      <c r="G6" s="9"/>
      <c r="H6" s="9"/>
      <c r="I6" s="9"/>
      <c r="J6" s="31"/>
    </row>
    <row r="7" spans="1:10" ht="16" thickBot="1" x14ac:dyDescent="0.4">
      <c r="B7" s="98" t="s">
        <v>11</v>
      </c>
      <c r="C7" s="98"/>
      <c r="E7" s="98" t="s">
        <v>5</v>
      </c>
      <c r="F7" s="98"/>
      <c r="H7" s="98" t="s">
        <v>12</v>
      </c>
      <c r="I7" s="98"/>
      <c r="J7" s="32"/>
    </row>
    <row r="8" spans="1:10" x14ac:dyDescent="0.35">
      <c r="A8" s="8" t="s">
        <v>119</v>
      </c>
      <c r="B8" s="10">
        <v>0</v>
      </c>
      <c r="C8" s="8"/>
      <c r="E8" s="11"/>
      <c r="F8" s="12">
        <v>0</v>
      </c>
      <c r="G8" s="8" t="s">
        <v>119</v>
      </c>
      <c r="H8" s="13"/>
      <c r="I8" s="14"/>
      <c r="J8" s="31"/>
    </row>
    <row r="9" spans="1:10" x14ac:dyDescent="0.35">
      <c r="A9" s="57" t="s">
        <v>123</v>
      </c>
      <c r="B9" s="58">
        <f>B14+C10+C12-B8</f>
        <v>385000</v>
      </c>
      <c r="C9" s="8"/>
      <c r="E9" s="15"/>
      <c r="F9" s="12"/>
      <c r="H9" s="15">
        <v>12000</v>
      </c>
      <c r="I9" s="16"/>
      <c r="J9" s="31"/>
    </row>
    <row r="10" spans="1:10" x14ac:dyDescent="0.35">
      <c r="A10" s="8"/>
      <c r="B10" s="17"/>
      <c r="C10" s="27">
        <v>280000</v>
      </c>
      <c r="D10" s="28" t="s">
        <v>15</v>
      </c>
      <c r="E10" s="15"/>
      <c r="F10" s="12">
        <f>H9</f>
        <v>12000</v>
      </c>
      <c r="G10" s="18"/>
      <c r="H10" s="19"/>
      <c r="I10" s="16"/>
      <c r="J10" s="31"/>
    </row>
    <row r="11" spans="1:10" x14ac:dyDescent="0.35">
      <c r="A11" s="8"/>
      <c r="B11" s="17"/>
      <c r="C11" s="12"/>
      <c r="D11" s="8"/>
      <c r="E11" s="15"/>
      <c r="F11" s="12"/>
      <c r="H11" s="20"/>
      <c r="I11" s="16"/>
      <c r="J11" s="31"/>
    </row>
    <row r="12" spans="1:10" ht="16" thickBot="1" x14ac:dyDescent="0.4">
      <c r="A12" s="8"/>
      <c r="B12" s="21"/>
      <c r="C12" s="12">
        <f>E12</f>
        <v>5000</v>
      </c>
      <c r="D12" s="22" t="s">
        <v>13</v>
      </c>
      <c r="E12" s="12">
        <v>5000</v>
      </c>
      <c r="F12" s="23"/>
      <c r="H12" s="17"/>
      <c r="J12" s="31">
        <v>4</v>
      </c>
    </row>
    <row r="13" spans="1:10" x14ac:dyDescent="0.35">
      <c r="A13" s="8"/>
      <c r="B13" s="17"/>
      <c r="C13" s="8"/>
      <c r="E13" s="15"/>
      <c r="F13" s="12"/>
      <c r="H13" s="19"/>
      <c r="J13" s="31"/>
    </row>
    <row r="14" spans="1:10" x14ac:dyDescent="0.35">
      <c r="A14" s="8" t="s">
        <v>120</v>
      </c>
      <c r="B14" s="10">
        <f>F14/0.07</f>
        <v>99999.999999999985</v>
      </c>
      <c r="C14" s="8"/>
      <c r="E14" s="15"/>
      <c r="F14" s="12">
        <v>7000</v>
      </c>
      <c r="G14" s="8" t="s">
        <v>120</v>
      </c>
      <c r="H14" s="19"/>
      <c r="J14" s="31"/>
    </row>
    <row r="15" spans="1:10" x14ac:dyDescent="0.35">
      <c r="A15" s="9"/>
      <c r="B15" s="9"/>
      <c r="C15" s="9"/>
      <c r="D15" s="9"/>
      <c r="E15" s="12"/>
      <c r="F15" s="12"/>
      <c r="G15" s="8"/>
      <c r="H15" s="9"/>
      <c r="I15" s="9"/>
      <c r="J15" s="31"/>
    </row>
    <row r="16" spans="1:10" x14ac:dyDescent="0.35">
      <c r="B16" s="8" t="s">
        <v>121</v>
      </c>
      <c r="C16" s="8"/>
      <c r="G16" s="8"/>
      <c r="J16" s="32"/>
    </row>
    <row r="17" spans="1:10" x14ac:dyDescent="0.35">
      <c r="B17" s="8" t="s">
        <v>122</v>
      </c>
      <c r="C17" s="8"/>
      <c r="J17" s="32"/>
    </row>
    <row r="18" spans="1:10" x14ac:dyDescent="0.35">
      <c r="J18" s="31"/>
    </row>
    <row r="19" spans="1:10" x14ac:dyDescent="0.35">
      <c r="D19" s="7" t="s">
        <v>125</v>
      </c>
      <c r="G19" s="8"/>
      <c r="J19" s="31"/>
    </row>
    <row r="20" spans="1:10" x14ac:dyDescent="0.35">
      <c r="A20" s="9"/>
      <c r="B20" s="9"/>
      <c r="C20" s="9"/>
      <c r="D20" s="9"/>
      <c r="E20" s="9"/>
      <c r="F20" s="9"/>
      <c r="G20" s="8"/>
      <c r="H20" s="9"/>
      <c r="I20" s="9"/>
      <c r="J20" s="31"/>
    </row>
    <row r="21" spans="1:10" ht="16" thickBot="1" x14ac:dyDescent="0.4">
      <c r="B21" s="98" t="s">
        <v>11</v>
      </c>
      <c r="C21" s="98"/>
      <c r="E21" s="98" t="s">
        <v>5</v>
      </c>
      <c r="F21" s="98"/>
      <c r="H21" s="98" t="s">
        <v>12</v>
      </c>
      <c r="I21" s="98"/>
      <c r="J21" s="31"/>
    </row>
    <row r="22" spans="1:10" x14ac:dyDescent="0.35">
      <c r="A22" s="8" t="s">
        <v>126</v>
      </c>
      <c r="B22" s="10">
        <f>B14</f>
        <v>99999.999999999985</v>
      </c>
      <c r="C22" s="8"/>
      <c r="E22" s="59"/>
      <c r="F22" s="60">
        <f>F14</f>
        <v>7000</v>
      </c>
      <c r="G22" s="8" t="s">
        <v>126</v>
      </c>
      <c r="H22" s="13"/>
      <c r="I22" s="14"/>
      <c r="J22" s="31"/>
    </row>
    <row r="23" spans="1:10" x14ac:dyDescent="0.35">
      <c r="A23" s="8" t="s">
        <v>10</v>
      </c>
      <c r="B23" s="15">
        <v>430000</v>
      </c>
      <c r="C23" s="8"/>
      <c r="E23" s="22"/>
      <c r="F23" s="61"/>
      <c r="H23" s="15">
        <f>F24</f>
        <v>16500</v>
      </c>
      <c r="I23" s="16"/>
      <c r="J23" s="31"/>
    </row>
    <row r="24" spans="1:10" x14ac:dyDescent="0.35">
      <c r="A24" s="8"/>
      <c r="B24" s="17"/>
      <c r="C24" s="63">
        <f>B28-B22-B23+C25+C26</f>
        <v>-310500</v>
      </c>
      <c r="D24" s="63" t="s">
        <v>15</v>
      </c>
      <c r="E24" s="12"/>
      <c r="F24" s="62">
        <f>F28-F22+E26</f>
        <v>16500</v>
      </c>
      <c r="G24" s="95" t="s">
        <v>14</v>
      </c>
      <c r="H24" s="19"/>
      <c r="I24" s="16"/>
      <c r="J24" s="31"/>
    </row>
    <row r="25" spans="1:10" x14ac:dyDescent="0.35">
      <c r="A25" s="8"/>
      <c r="B25" s="17"/>
      <c r="C25" s="67">
        <v>10000</v>
      </c>
      <c r="D25" s="68" t="s">
        <v>3</v>
      </c>
      <c r="E25" s="22"/>
      <c r="F25" s="61"/>
      <c r="H25" s="20"/>
      <c r="I25" s="16"/>
      <c r="J25" s="31"/>
    </row>
    <row r="26" spans="1:10" ht="16" thickBot="1" x14ac:dyDescent="0.4">
      <c r="A26" s="8"/>
      <c r="B26" s="21"/>
      <c r="C26" s="12">
        <v>9500</v>
      </c>
      <c r="D26" s="22" t="s">
        <v>13</v>
      </c>
      <c r="E26" s="12">
        <f>C26</f>
        <v>9500</v>
      </c>
      <c r="F26" s="23"/>
      <c r="H26" s="17"/>
      <c r="J26" s="31"/>
    </row>
    <row r="27" spans="1:10" x14ac:dyDescent="0.35">
      <c r="A27" s="8"/>
      <c r="B27" s="17"/>
      <c r="C27" s="8"/>
      <c r="E27" s="22"/>
      <c r="F27" s="61"/>
      <c r="H27" s="19"/>
      <c r="J27" s="31"/>
    </row>
    <row r="28" spans="1:10" x14ac:dyDescent="0.35">
      <c r="A28" s="8" t="s">
        <v>127</v>
      </c>
      <c r="B28" s="10">
        <f>F28/0.07</f>
        <v>199999.99999999997</v>
      </c>
      <c r="C28" s="8"/>
      <c r="E28" s="22"/>
      <c r="F28" s="61">
        <v>14000</v>
      </c>
      <c r="G28" s="8" t="s">
        <v>128</v>
      </c>
      <c r="H28" s="19"/>
      <c r="J28" s="31"/>
    </row>
    <row r="29" spans="1:10" x14ac:dyDescent="0.35">
      <c r="A29" s="9"/>
      <c r="B29" s="9"/>
      <c r="C29" s="9"/>
      <c r="D29" s="9"/>
      <c r="E29" s="12"/>
      <c r="F29" s="12"/>
      <c r="G29" s="8"/>
      <c r="H29" s="9"/>
      <c r="I29" s="9"/>
      <c r="J29" s="31"/>
    </row>
    <row r="30" spans="1:10" x14ac:dyDescent="0.35">
      <c r="A30" s="9"/>
      <c r="B30" s="8" t="s">
        <v>121</v>
      </c>
      <c r="C30" s="8"/>
      <c r="E30" s="12"/>
      <c r="F30" s="12"/>
      <c r="G30" s="8"/>
      <c r="H30" s="9"/>
      <c r="I30" s="9"/>
      <c r="J30" s="31"/>
    </row>
    <row r="31" spans="1:10" x14ac:dyDescent="0.35">
      <c r="A31" s="9"/>
      <c r="B31" s="8" t="s">
        <v>129</v>
      </c>
      <c r="C31" s="8"/>
      <c r="E31" s="12"/>
      <c r="F31" s="12"/>
      <c r="G31" s="8"/>
      <c r="H31" s="9"/>
      <c r="I31" s="9"/>
      <c r="J31" s="31"/>
    </row>
    <row r="32" spans="1:10" x14ac:dyDescent="0.35">
      <c r="A32" s="9"/>
      <c r="B32" s="12" t="s">
        <v>188</v>
      </c>
      <c r="C32" s="12"/>
      <c r="D32" s="8"/>
      <c r="E32" s="9"/>
      <c r="F32" s="9"/>
      <c r="G32" s="9"/>
      <c r="H32" s="9"/>
      <c r="I32" s="9"/>
      <c r="J32" s="31"/>
    </row>
    <row r="33" spans="1:10" x14ac:dyDescent="0.35">
      <c r="A33" s="5" t="s">
        <v>7</v>
      </c>
      <c r="B33" s="8"/>
      <c r="C33" s="8"/>
      <c r="E33" s="12"/>
      <c r="F33" s="12"/>
      <c r="G33" s="8"/>
      <c r="H33" s="9"/>
      <c r="I33" s="9"/>
      <c r="J33" s="31"/>
    </row>
    <row r="34" spans="1:10" x14ac:dyDescent="0.35">
      <c r="A34" s="5" t="s">
        <v>124</v>
      </c>
      <c r="B34" s="5"/>
      <c r="C34" s="34">
        <v>310500</v>
      </c>
      <c r="J34" s="31">
        <v>5</v>
      </c>
    </row>
    <row r="35" spans="1:10" x14ac:dyDescent="0.35">
      <c r="B35" s="30"/>
      <c r="E35" s="8"/>
      <c r="F35" s="8"/>
      <c r="G35" s="8"/>
      <c r="J35" s="31"/>
    </row>
    <row r="36" spans="1:10" x14ac:dyDescent="0.35">
      <c r="D36" s="65" t="s">
        <v>132</v>
      </c>
      <c r="E36" s="66">
        <v>10000</v>
      </c>
      <c r="F36" s="64">
        <v>1</v>
      </c>
      <c r="G36" s="2" t="s">
        <v>134</v>
      </c>
      <c r="J36" s="31"/>
    </row>
    <row r="37" spans="1:10" x14ac:dyDescent="0.35">
      <c r="A37" s="5" t="s">
        <v>8</v>
      </c>
      <c r="D37" s="2" t="s">
        <v>133</v>
      </c>
      <c r="E37" s="99">
        <v>-8000</v>
      </c>
      <c r="F37" s="64">
        <v>0.8</v>
      </c>
      <c r="J37" s="31"/>
    </row>
    <row r="38" spans="1:10" x14ac:dyDescent="0.35">
      <c r="A38" s="6" t="s">
        <v>130</v>
      </c>
      <c r="B38" s="6"/>
      <c r="D38" s="2" t="s">
        <v>1</v>
      </c>
      <c r="E38" s="1">
        <v>2000</v>
      </c>
      <c r="F38" s="64">
        <v>0.2</v>
      </c>
      <c r="J38" s="31"/>
    </row>
    <row r="39" spans="1:10" x14ac:dyDescent="0.35">
      <c r="A39" s="6"/>
      <c r="B39" s="6"/>
      <c r="J39" s="31"/>
    </row>
    <row r="40" spans="1:10" x14ac:dyDescent="0.35">
      <c r="A40" s="2" t="s">
        <v>4</v>
      </c>
      <c r="B40" s="24">
        <f>B28</f>
        <v>199999.99999999997</v>
      </c>
      <c r="J40" s="31">
        <v>3</v>
      </c>
    </row>
    <row r="41" spans="1:10" x14ac:dyDescent="0.35">
      <c r="A41" s="6" t="s">
        <v>5</v>
      </c>
      <c r="B41" s="25">
        <f>-F28</f>
        <v>-14000</v>
      </c>
      <c r="J41" s="31"/>
    </row>
    <row r="42" spans="1:10" x14ac:dyDescent="0.35">
      <c r="A42" s="26" t="s">
        <v>16</v>
      </c>
      <c r="B42" s="24">
        <f>SUM(B40:B41)</f>
        <v>185999.99999999997</v>
      </c>
      <c r="J42" s="31"/>
    </row>
    <row r="43" spans="1:10" x14ac:dyDescent="0.35">
      <c r="B43" s="16"/>
      <c r="J43" s="31"/>
    </row>
    <row r="44" spans="1:10" x14ac:dyDescent="0.35">
      <c r="J44" s="31"/>
    </row>
    <row r="45" spans="1:10" x14ac:dyDescent="0.35">
      <c r="A45" s="5" t="s">
        <v>9</v>
      </c>
      <c r="J45" s="31"/>
    </row>
    <row r="46" spans="1:10" x14ac:dyDescent="0.35">
      <c r="J46" s="31"/>
    </row>
    <row r="47" spans="1:10" x14ac:dyDescent="0.35">
      <c r="A47" s="6" t="s">
        <v>131</v>
      </c>
      <c r="B47" s="6"/>
      <c r="C47" s="29">
        <f>H23</f>
        <v>16500</v>
      </c>
      <c r="J47" s="31">
        <v>2</v>
      </c>
    </row>
    <row r="48" spans="1:10" x14ac:dyDescent="0.35">
      <c r="J48" s="31"/>
    </row>
    <row r="49" spans="1:10" x14ac:dyDescent="0.35">
      <c r="A49" s="2" t="s">
        <v>135</v>
      </c>
      <c r="B49" s="1">
        <f>H23</f>
        <v>16500</v>
      </c>
      <c r="J49" s="31"/>
    </row>
    <row r="50" spans="1:10" x14ac:dyDescent="0.35">
      <c r="A50" s="2" t="s">
        <v>136</v>
      </c>
      <c r="B50" s="1">
        <f>B49</f>
        <v>16500</v>
      </c>
      <c r="J50" s="31">
        <v>2</v>
      </c>
    </row>
    <row r="51" spans="1:10" x14ac:dyDescent="0.35">
      <c r="B51" s="1"/>
      <c r="J51" s="31"/>
    </row>
    <row r="52" spans="1:10" x14ac:dyDescent="0.35">
      <c r="A52" s="5" t="s">
        <v>138</v>
      </c>
      <c r="B52" s="1"/>
      <c r="J52" s="31"/>
    </row>
    <row r="53" spans="1:10" x14ac:dyDescent="0.35">
      <c r="A53" s="5"/>
      <c r="B53" s="1"/>
      <c r="J53" s="31"/>
    </row>
    <row r="54" spans="1:10" x14ac:dyDescent="0.35">
      <c r="A54" s="2" t="s">
        <v>141</v>
      </c>
      <c r="B54" s="1"/>
      <c r="J54" s="31">
        <v>1</v>
      </c>
    </row>
    <row r="55" spans="1:10" x14ac:dyDescent="0.35">
      <c r="B55" s="1"/>
      <c r="J55" s="31"/>
    </row>
    <row r="56" spans="1:10" x14ac:dyDescent="0.35">
      <c r="B56" s="1"/>
      <c r="J56" s="31"/>
    </row>
    <row r="57" spans="1:10" x14ac:dyDescent="0.35">
      <c r="A57" s="2" t="s">
        <v>139</v>
      </c>
      <c r="B57" s="1"/>
      <c r="J57" s="31">
        <v>3</v>
      </c>
    </row>
    <row r="58" spans="1:10" x14ac:dyDescent="0.35">
      <c r="A58" s="2" t="s">
        <v>140</v>
      </c>
      <c r="J58" s="31"/>
    </row>
    <row r="59" spans="1:10" x14ac:dyDescent="0.35">
      <c r="J59" s="31"/>
    </row>
    <row r="60" spans="1:10" x14ac:dyDescent="0.35">
      <c r="J60" s="31"/>
    </row>
    <row r="61" spans="1:10" x14ac:dyDescent="0.35">
      <c r="J61" s="31">
        <f>SUM(J2:J59)</f>
        <v>20</v>
      </c>
    </row>
    <row r="62" spans="1:10" x14ac:dyDescent="0.35">
      <c r="J62" s="31"/>
    </row>
  </sheetData>
  <mergeCells count="6">
    <mergeCell ref="E21:F21"/>
    <mergeCell ref="B21:C21"/>
    <mergeCell ref="B7:C7"/>
    <mergeCell ref="E7:F7"/>
    <mergeCell ref="H21:I21"/>
    <mergeCell ref="H7:I7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L62"/>
  <sheetViews>
    <sheetView rightToLeft="1" topLeftCell="A28" workbookViewId="0">
      <selection activeCell="L63" sqref="L63"/>
    </sheetView>
  </sheetViews>
  <sheetFormatPr defaultColWidth="9" defaultRowHeight="15.5" x14ac:dyDescent="0.35"/>
  <cols>
    <col min="1" max="3" width="9" style="52"/>
    <col min="4" max="5" width="10.33203125" style="52" bestFit="1" customWidth="1"/>
    <col min="6" max="10" width="9" style="52"/>
    <col min="12" max="12" width="9" style="94"/>
    <col min="13" max="16384" width="9" style="52"/>
  </cols>
  <sheetData>
    <row r="3" spans="1:12" x14ac:dyDescent="0.35">
      <c r="E3" s="53" t="s">
        <v>142</v>
      </c>
      <c r="F3" s="53"/>
    </row>
    <row r="4" spans="1:12" x14ac:dyDescent="0.35">
      <c r="A4" s="53" t="s">
        <v>182</v>
      </c>
    </row>
    <row r="5" spans="1:12" x14ac:dyDescent="0.35">
      <c r="A5" s="52" t="s">
        <v>117</v>
      </c>
    </row>
    <row r="7" spans="1:12" x14ac:dyDescent="0.35">
      <c r="C7" s="52" t="s">
        <v>91</v>
      </c>
      <c r="G7" s="52" t="s">
        <v>92</v>
      </c>
    </row>
    <row r="8" spans="1:12" x14ac:dyDescent="0.35">
      <c r="D8" s="52" t="s">
        <v>0</v>
      </c>
      <c r="E8" s="52">
        <v>110</v>
      </c>
      <c r="H8" s="52" t="s">
        <v>93</v>
      </c>
      <c r="I8" s="52">
        <v>736</v>
      </c>
    </row>
    <row r="9" spans="1:12" x14ac:dyDescent="0.35">
      <c r="D9" s="52" t="s">
        <v>17</v>
      </c>
      <c r="E9" s="52">
        <v>582</v>
      </c>
      <c r="H9" s="55" t="s">
        <v>94</v>
      </c>
      <c r="I9" s="55">
        <f>+-E11</f>
        <v>-552</v>
      </c>
    </row>
    <row r="10" spans="1:12" x14ac:dyDescent="0.35">
      <c r="D10" s="55" t="s">
        <v>95</v>
      </c>
      <c r="E10" s="55">
        <f>-(28*5)</f>
        <v>-140</v>
      </c>
      <c r="H10" s="89" t="s">
        <v>1</v>
      </c>
      <c r="I10" s="89">
        <f>+I8+I9</f>
        <v>184</v>
      </c>
      <c r="L10" s="92">
        <v>4</v>
      </c>
    </row>
    <row r="11" spans="1:12" x14ac:dyDescent="0.35">
      <c r="D11" s="52" t="s">
        <v>96</v>
      </c>
      <c r="E11" s="52">
        <f>SUM(E8:E10)</f>
        <v>552</v>
      </c>
    </row>
    <row r="13" spans="1:12" x14ac:dyDescent="0.35">
      <c r="F13" s="52" t="s">
        <v>97</v>
      </c>
      <c r="H13" s="52">
        <f>+I10/I8</f>
        <v>0.25</v>
      </c>
      <c r="I13" s="52" t="s">
        <v>98</v>
      </c>
    </row>
    <row r="15" spans="1:12" x14ac:dyDescent="0.35">
      <c r="A15" s="97" t="s">
        <v>183</v>
      </c>
      <c r="B15" s="90"/>
      <c r="C15" s="90"/>
      <c r="D15" s="90"/>
      <c r="E15" s="90"/>
      <c r="F15" s="90"/>
    </row>
    <row r="16" spans="1:12" x14ac:dyDescent="0.35">
      <c r="B16" s="90"/>
      <c r="C16" s="90"/>
      <c r="D16" s="90"/>
      <c r="E16" s="90"/>
      <c r="F16" s="90"/>
    </row>
    <row r="17" spans="1:12" x14ac:dyDescent="0.35">
      <c r="B17" s="90"/>
      <c r="C17" s="90" t="s">
        <v>100</v>
      </c>
      <c r="D17" s="90"/>
      <c r="E17" s="90"/>
      <c r="F17" s="90"/>
    </row>
    <row r="18" spans="1:12" x14ac:dyDescent="0.35">
      <c r="B18" s="90"/>
      <c r="C18" s="90" t="s">
        <v>102</v>
      </c>
      <c r="D18" s="90"/>
      <c r="E18" s="90"/>
      <c r="F18" s="90"/>
    </row>
    <row r="19" spans="1:12" x14ac:dyDescent="0.35">
      <c r="B19" s="90"/>
      <c r="C19" s="90">
        <f>28+70-50+50-50-38+40</f>
        <v>50</v>
      </c>
      <c r="D19" s="91" t="s">
        <v>103</v>
      </c>
      <c r="E19" s="90"/>
      <c r="F19" s="90"/>
    </row>
    <row r="20" spans="1:12" x14ac:dyDescent="0.35">
      <c r="B20" s="90"/>
      <c r="C20" s="90"/>
      <c r="D20" s="90"/>
      <c r="E20" s="90"/>
      <c r="F20" s="90"/>
    </row>
    <row r="21" spans="1:12" x14ac:dyDescent="0.35">
      <c r="B21" s="90"/>
      <c r="C21" s="90"/>
      <c r="D21" s="90"/>
      <c r="E21" s="90"/>
      <c r="F21" s="90"/>
    </row>
    <row r="22" spans="1:12" x14ac:dyDescent="0.35">
      <c r="B22" s="90" t="s">
        <v>104</v>
      </c>
      <c r="C22" s="90"/>
      <c r="D22" s="90" t="s">
        <v>105</v>
      </c>
      <c r="E22" s="90"/>
      <c r="F22" s="90"/>
      <c r="L22" s="94">
        <v>4</v>
      </c>
    </row>
    <row r="23" spans="1:12" x14ac:dyDescent="0.35">
      <c r="B23" s="90"/>
      <c r="C23" s="90" t="s">
        <v>106</v>
      </c>
      <c r="D23" s="90"/>
      <c r="E23" s="90"/>
      <c r="F23" s="90"/>
    </row>
    <row r="24" spans="1:12" x14ac:dyDescent="0.35">
      <c r="B24" s="90"/>
      <c r="C24" s="90">
        <f>168+40</f>
        <v>208</v>
      </c>
      <c r="D24" s="90" t="s">
        <v>108</v>
      </c>
      <c r="E24" s="90"/>
      <c r="F24" s="96"/>
    </row>
    <row r="25" spans="1:12" x14ac:dyDescent="0.35">
      <c r="B25" s="90"/>
      <c r="C25" s="90"/>
      <c r="D25" s="90"/>
      <c r="E25" s="90"/>
      <c r="F25" s="90"/>
    </row>
    <row r="26" spans="1:12" x14ac:dyDescent="0.35">
      <c r="A26" s="53" t="s">
        <v>184</v>
      </c>
    </row>
    <row r="27" spans="1:12" x14ac:dyDescent="0.35">
      <c r="A27" s="54"/>
    </row>
    <row r="28" spans="1:12" x14ac:dyDescent="0.35">
      <c r="A28" s="52" t="s">
        <v>99</v>
      </c>
    </row>
    <row r="29" spans="1:12" x14ac:dyDescent="0.35">
      <c r="E29" s="52" t="s">
        <v>0</v>
      </c>
      <c r="F29" s="52">
        <f>-E10</f>
        <v>140</v>
      </c>
    </row>
    <row r="30" spans="1:12" x14ac:dyDescent="0.35">
      <c r="E30" s="52" t="s">
        <v>17</v>
      </c>
      <c r="F30" s="52">
        <f>70*4.5+50*4+40*4.2</f>
        <v>683</v>
      </c>
      <c r="G30" s="56" t="s">
        <v>101</v>
      </c>
    </row>
    <row r="31" spans="1:12" x14ac:dyDescent="0.35">
      <c r="E31" s="55" t="s">
        <v>95</v>
      </c>
      <c r="F31" s="55">
        <f>-C24</f>
        <v>-208</v>
      </c>
      <c r="L31" s="94">
        <v>3</v>
      </c>
    </row>
    <row r="32" spans="1:12" x14ac:dyDescent="0.35">
      <c r="E32" s="52" t="s">
        <v>96</v>
      </c>
      <c r="F32" s="52">
        <f>SUM(F29:F31)</f>
        <v>615</v>
      </c>
    </row>
    <row r="35" spans="1:12" x14ac:dyDescent="0.35">
      <c r="A35" s="54"/>
    </row>
    <row r="36" spans="1:12" x14ac:dyDescent="0.35">
      <c r="A36" s="52" t="s">
        <v>107</v>
      </c>
    </row>
    <row r="38" spans="1:12" x14ac:dyDescent="0.35">
      <c r="E38" s="52" t="s">
        <v>109</v>
      </c>
    </row>
    <row r="39" spans="1:12" x14ac:dyDescent="0.35">
      <c r="F39" s="52" t="s">
        <v>110</v>
      </c>
    </row>
    <row r="40" spans="1:12" x14ac:dyDescent="0.35">
      <c r="E40" s="52" t="s">
        <v>111</v>
      </c>
    </row>
    <row r="42" spans="1:12" x14ac:dyDescent="0.35">
      <c r="F42" s="52" t="s">
        <v>112</v>
      </c>
    </row>
    <row r="44" spans="1:12" x14ac:dyDescent="0.35">
      <c r="F44" s="52" t="s">
        <v>113</v>
      </c>
      <c r="L44" s="94">
        <v>3</v>
      </c>
    </row>
    <row r="45" spans="1:12" x14ac:dyDescent="0.35">
      <c r="D45" s="52" t="s">
        <v>114</v>
      </c>
    </row>
    <row r="49" spans="1:12" x14ac:dyDescent="0.35">
      <c r="A49" s="53" t="s">
        <v>181</v>
      </c>
    </row>
    <row r="50" spans="1:12" x14ac:dyDescent="0.35">
      <c r="C50" s="52" t="s">
        <v>185</v>
      </c>
    </row>
    <row r="51" spans="1:12" x14ac:dyDescent="0.35">
      <c r="E51" s="52" t="s">
        <v>93</v>
      </c>
      <c r="F51" s="52">
        <f>50*5.64+50*6.2+38*6</f>
        <v>820</v>
      </c>
      <c r="G51" s="56" t="s">
        <v>115</v>
      </c>
    </row>
    <row r="52" spans="1:12" x14ac:dyDescent="0.35">
      <c r="E52" s="52" t="s">
        <v>96</v>
      </c>
      <c r="F52" s="55">
        <f>-F32</f>
        <v>-615</v>
      </c>
    </row>
    <row r="53" spans="1:12" x14ac:dyDescent="0.35">
      <c r="E53" s="52" t="s">
        <v>1</v>
      </c>
      <c r="F53" s="52">
        <f>SUM(F51:F52)</f>
        <v>205</v>
      </c>
      <c r="G53" s="52">
        <f>+F53/F51</f>
        <v>0.25</v>
      </c>
      <c r="L53" s="94">
        <v>2</v>
      </c>
    </row>
    <row r="55" spans="1:12" x14ac:dyDescent="0.35">
      <c r="A55" s="53" t="s">
        <v>186</v>
      </c>
    </row>
    <row r="56" spans="1:12" x14ac:dyDescent="0.35">
      <c r="L56" s="94">
        <v>3</v>
      </c>
    </row>
    <row r="57" spans="1:12" x14ac:dyDescent="0.35">
      <c r="A57" s="52" t="s">
        <v>116</v>
      </c>
      <c r="I57" s="93"/>
    </row>
    <row r="58" spans="1:12" x14ac:dyDescent="0.35">
      <c r="A58" s="52" t="s">
        <v>190</v>
      </c>
      <c r="I58" s="93"/>
    </row>
    <row r="59" spans="1:12" x14ac:dyDescent="0.35">
      <c r="A59" s="52" t="s">
        <v>191</v>
      </c>
    </row>
    <row r="60" spans="1:12" x14ac:dyDescent="0.35">
      <c r="A60" s="52" t="s">
        <v>189</v>
      </c>
      <c r="L60" s="94">
        <v>3</v>
      </c>
    </row>
    <row r="62" spans="1:12" x14ac:dyDescent="0.35">
      <c r="J62" s="52" t="s">
        <v>173</v>
      </c>
      <c r="L62" s="94">
        <f>SUM(L1:L61)</f>
        <v>22</v>
      </c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שאלה 1 - עריכת דוחות כספיים</vt:lpstr>
      <vt:lpstr>שאלה 2 רכוש קבוע</vt:lpstr>
      <vt:lpstr>שאלה  3 - לקוחות </vt:lpstr>
      <vt:lpstr>שאלה 4 - מלאי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2006-09-13T11:28:12Z</dcterms:created>
  <dcterms:modified xsi:type="dcterms:W3CDTF">2022-02-01T07:38:37Z</dcterms:modified>
</cp:coreProperties>
</file>